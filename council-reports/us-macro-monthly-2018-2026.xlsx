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nthly" sheetId="1" state="visible" r:id="rId3"/>
    <sheet name="Anchors" sheetId="2" state="visible" r:id="rId4"/>
    <sheet name="Snapshot" sheetId="3" state="visible" r:id="rId5"/>
    <sheet name="Sources" sheetId="4" state="visible" r:id="rId6"/>
  </sheets>
  <definedNames>
    <definedName function="false" hidden="true" localSheetId="0" name="_xlnm._FilterDatabase" vbProcedure="false">Monthly!$A$4:$AJ$109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Row = calendar month. Quarterly series are held constant across the three months of the quarter (grey fill).</t>
        </r>
      </text>
    </comment>
    <comment ref="B4" authorId="0">
      <text>
        <r>
          <rPr>
            <sz val="10"/>
            <rFont val="Arial"/>
            <family val="2"/>
          </rPr>
          <t xml:space="preserve">Shiller monthly average of daily closes; mirror github.com/datasets/s-and-p-500 (to Sep 2026). Spot 2 Oct 2026: 7,723.</t>
        </r>
      </text>
    </comment>
    <comment ref="C4" authorId="0">
      <text>
        <r>
          <rPr>
            <sz val="10"/>
            <rFont val="Arial"/>
            <family val="2"/>
          </rPr>
          <t xml:space="preserve">Formula: level / level 12 months earlier - 1</t>
        </r>
      </text>
    </comment>
    <comment ref="D4" authorId="0">
      <text>
        <r>
          <rPr>
            <sz val="10"/>
            <rFont val="Arial"/>
            <family val="2"/>
          </rPr>
          <t xml:space="preserve">FRED IRLTLT01USM156N, monthly average (to Aug 2026). Spot 2 Oct 2026: 5.28%.</t>
        </r>
      </text>
    </comment>
    <comment ref="E4" authorId="0">
      <text>
        <r>
          <rPr>
            <sz val="10"/>
            <rFont val="Arial"/>
            <family val="2"/>
          </rPr>
          <t xml:space="preserve">FRED DGS1 daily, averaged to monthly in data prep (to Oct 2026).</t>
        </r>
      </text>
    </comment>
    <comment ref="F4" authorId="0">
      <text>
        <r>
          <rPr>
            <sz val="10"/>
            <rFont val="Arial"/>
            <family val="2"/>
          </rPr>
          <t xml:space="preserve">FRED FEDFUNDS monthly average (to Sep 2026).</t>
        </r>
      </text>
    </comment>
    <comment ref="G4" authorId="0">
      <text>
        <r>
          <rPr>
            <sz val="10"/>
            <rFont val="Arial"/>
            <family val="2"/>
          </rPr>
          <t xml:space="preserve">Formula: 10y minus 1y</t>
        </r>
      </text>
    </comment>
    <comment ref="H4" authorId="0">
      <text>
        <r>
          <rPr>
            <sz val="10"/>
            <rFont val="Arial"/>
            <family val="2"/>
          </rPr>
          <t xml:space="preserve">FRED CPIAUCNS (to Aug 2026).</t>
        </r>
      </text>
    </comment>
    <comment ref="I4" authorId="0">
      <text>
        <r>
          <rPr>
            <sz val="10"/>
            <rFont val="Arial"/>
            <family val="2"/>
          </rPr>
          <t xml:space="preserve">Formula: index / index 12 months earlier - 1</t>
        </r>
      </text>
    </comment>
    <comment ref="J4" authorId="0">
      <text>
        <r>
          <rPr>
            <sz val="10"/>
            <rFont val="Arial"/>
            <family val="2"/>
          </rPr>
          <t xml:space="preserve">FRED UNRATE (to Sep 2026).</t>
        </r>
      </text>
    </comment>
    <comment ref="K4" authorId="0">
      <text>
        <r>
          <rPr>
            <sz val="10"/>
            <rFont val="Arial"/>
            <family val="2"/>
          </rPr>
          <t xml:space="preserve">FRED SAHMCURRENT; recession signal at &gt;= 0.50 (to Sep 2026).</t>
        </r>
      </text>
    </comment>
    <comment ref="L4" authorId="0">
      <text>
        <r>
          <rPr>
            <sz val="10"/>
            <rFont val="Arial"/>
            <family val="2"/>
          </rPr>
          <t xml:space="preserve">FRED GDP, quarterly, held across the quarter (to Q2 2026).</t>
        </r>
      </text>
    </comment>
    <comment ref="M4" authorId="0">
      <text>
        <r>
          <rPr>
            <sz val="10"/>
            <rFont val="Arial"/>
            <family val="2"/>
          </rPr>
          <t xml:space="preserve">Formula: GDP / GDP 12 months earlier - 1 (quarterly series)</t>
        </r>
      </text>
    </comment>
    <comment ref="N4" authorId="0">
      <text>
        <r>
          <rPr>
            <sz val="10"/>
            <rFont val="Arial"/>
            <family val="2"/>
          </rPr>
          <t xml:space="preserve">FRED GFDEGDQ188S, quarterly, held (to Q1 2026).</t>
        </r>
      </text>
    </comment>
    <comment ref="O4" authorId="0">
      <text>
        <r>
          <rPr>
            <sz val="10"/>
            <rFont val="Arial"/>
            <family val="2"/>
          </rPr>
          <t xml:space="preserve">FRED A091RC1Q027SBEA, quarterly, held (to Q2 2026).</t>
        </r>
      </text>
    </comment>
    <comment ref="P4" authorId="0">
      <text>
        <r>
          <rPr>
            <sz val="10"/>
            <rFont val="Arial"/>
            <family val="2"/>
          </rPr>
          <t xml:space="preserve">Formula: interest / nominal GDP</t>
        </r>
      </text>
    </comment>
    <comment ref="Q4" authorId="0">
      <text>
        <r>
          <rPr>
            <sz val="10"/>
            <rFont val="Arial"/>
            <family val="2"/>
          </rPr>
          <t xml:space="preserve">FRED M2SL (to Aug 2026).</t>
        </r>
      </text>
    </comment>
    <comment ref="R4" authorId="0">
      <text>
        <r>
          <rPr>
            <sz val="10"/>
            <rFont val="Arial"/>
            <family val="2"/>
          </rPr>
          <t xml:space="preserve">Formula</t>
        </r>
      </text>
    </comment>
    <comment ref="S4" authorId="0">
      <text>
        <r>
          <rPr>
            <sz val="10"/>
            <rFont val="Arial"/>
            <family val="2"/>
          </rPr>
          <t xml:space="preserve">FRED RESPPANWW weekly, averaged to monthly in data prep (to Oct 2026).</t>
        </r>
      </text>
    </comment>
    <comment ref="T4" authorId="0">
      <text>
        <r>
          <rPr>
            <sz val="10"/>
            <rFont val="Arial"/>
            <family val="2"/>
          </rPr>
          <t xml:space="preserve">FRED INDPRO (to Aug 2026).</t>
        </r>
      </text>
    </comment>
    <comment ref="U4" authorId="0">
      <text>
        <r>
          <rPr>
            <sz val="10"/>
            <rFont val="Arial"/>
            <family val="2"/>
          </rPr>
          <t xml:space="preserve">Formula</t>
        </r>
      </text>
    </comment>
    <comment ref="V4" authorId="0">
      <text>
        <r>
          <rPr>
            <sz val="10"/>
            <rFont val="Arial"/>
            <family val="2"/>
          </rPr>
          <t xml:space="preserve">FRED RSAFS (to Aug 2026).</t>
        </r>
      </text>
    </comment>
    <comment ref="W4" authorId="0">
      <text>
        <r>
          <rPr>
            <sz val="10"/>
            <rFont val="Arial"/>
            <family val="2"/>
          </rPr>
          <t xml:space="preserve">Formula (nominal)</t>
        </r>
      </text>
    </comment>
    <comment ref="X4" authorId="0">
      <text>
        <r>
          <rPr>
            <sz val="10"/>
            <rFont val="Arial"/>
            <family val="2"/>
          </rPr>
          <t xml:space="preserve">FRED PCE (to Aug 2026).</t>
        </r>
      </text>
    </comment>
    <comment ref="Y4" authorId="0">
      <text>
        <r>
          <rPr>
            <sz val="10"/>
            <rFont val="Arial"/>
            <family val="2"/>
          </rPr>
          <t xml:space="preserve">Formula</t>
        </r>
      </text>
    </comment>
    <comment ref="Z4" authorId="0">
      <text>
        <r>
          <rPr>
            <sz val="10"/>
            <rFont val="Arial"/>
            <family val="2"/>
          </rPr>
          <t xml:space="preserve">FRED DSPIC96 (to Aug 2026).</t>
        </r>
      </text>
    </comment>
    <comment ref="AA4" authorId="0">
      <text>
        <r>
          <rPr>
            <sz val="10"/>
            <rFont val="Arial"/>
            <family val="2"/>
          </rPr>
          <t xml:space="preserve">Formula</t>
        </r>
      </text>
    </comment>
    <comment ref="AB4" authorId="0">
      <text>
        <r>
          <rPr>
            <sz val="10"/>
            <rFont val="Arial"/>
            <family val="2"/>
          </rPr>
          <t xml:space="preserve">S&amp;P/Case-Shiller US National, SA; mirror github.com/datasets/house-prices-us (to Jul 2026).</t>
        </r>
      </text>
    </comment>
    <comment ref="AC4" authorId="0">
      <text>
        <r>
          <rPr>
            <sz val="10"/>
            <rFont val="Arial"/>
            <family val="2"/>
          </rPr>
          <t xml:space="preserve">Formula</t>
        </r>
      </text>
    </comment>
    <comment ref="AD4" authorId="0">
      <text>
        <r>
          <rPr>
            <sz val="10"/>
            <rFont val="Arial"/>
            <family val="2"/>
          </rPr>
          <t xml:space="preserve">EIA Brent monthly; mirror github.com/datasets/oil-prices (to Sep 2026).</t>
        </r>
      </text>
    </comment>
    <comment ref="AE4" authorId="0">
      <text>
        <r>
          <rPr>
            <sz val="10"/>
            <rFont val="Arial"/>
            <family val="2"/>
          </rPr>
          <t xml:space="preserve">FRED DCOILWTICO daily, averaged to monthly (to Oct 2026).</t>
        </r>
      </text>
    </comment>
    <comment ref="AF4" authorId="0">
      <text>
        <r>
          <rPr>
            <sz val="10"/>
            <rFont val="Arial"/>
            <family val="2"/>
          </rPr>
          <t xml:space="preserve">LBMA monthly; mirror github.com/datasets/gold-prices (to Sep 2026). Peak $5,589 on 28 Jan 2026 (brief).</t>
        </r>
      </text>
    </comment>
    <comment ref="AG4" authorId="0">
      <text>
        <r>
          <rPr>
            <sz val="10"/>
            <rFont val="Arial"/>
            <family val="2"/>
          </rPr>
          <t xml:space="preserve">Formula</t>
        </r>
      </text>
    </comment>
    <comment ref="AH4" authorId="0">
      <text>
        <r>
          <rPr>
            <sz val="10"/>
            <rFont val="Arial"/>
            <family val="2"/>
          </rPr>
          <t xml:space="preserve">CBOE VIX; mirror github.com/datasets/finance-vix (to Sep 2026).</t>
        </r>
      </text>
    </comment>
    <comment ref="AI4" authorId="0">
      <text>
        <r>
          <rPr>
            <sz val="10"/>
            <rFont val="Arial"/>
            <family val="2"/>
          </rPr>
          <t xml:space="preserve">FRED DEXUSEU daily, averaged to monthly (to Oct 2026).</t>
        </r>
      </text>
    </comment>
    <comment ref="AJ4" authorId="0">
      <text>
        <r>
          <rPr>
            <sz val="10"/>
            <rFont val="Arial"/>
            <family val="2"/>
          </rPr>
          <t xml:space="preserve">FRED monthly 2y via mirror to Feb 2024; later cells are anchors (yellow).</t>
        </r>
      </text>
    </comment>
    <comment ref="AJ82" authorId="0">
      <text>
        <r>
          <rPr>
            <sz val="10"/>
            <rFont val="Arial"/>
            <family val="2"/>
          </rPr>
          <t xml:space="preserve">Approximate value from analyst memory of the published series; verify on FRED/FactSet before relying on it</t>
        </r>
      </text>
    </comment>
    <comment ref="AJ88" authorId="0">
      <text>
        <r>
          <rPr>
            <sz val="10"/>
            <rFont val="Arial"/>
            <family val="2"/>
          </rPr>
          <t xml:space="preserve">Approximate value from analyst memory of the published series; verify on FRED/FactSet before relying on it</t>
        </r>
      </text>
    </comment>
    <comment ref="AJ94" authorId="0">
      <text>
        <r>
          <rPr>
            <sz val="10"/>
            <rFont val="Arial"/>
            <family val="2"/>
          </rPr>
          <t xml:space="preserve">Approximate value from analyst memory of the published series; verify on FRED/FactSet before relying on it</t>
        </r>
      </text>
    </comment>
    <comment ref="AJ100" authorId="0">
      <text>
        <r>
          <rPr>
            <sz val="10"/>
            <rFont val="Arial"/>
            <family val="2"/>
          </rPr>
          <t xml:space="preserve">Approximate value from analyst memory of the published series; verify on FRED/FactSet before relying on it</t>
        </r>
      </text>
    </comment>
    <comment ref="AJ109" authorId="0">
      <text>
        <r>
          <rPr>
            <sz val="10"/>
            <rFont val="Arial"/>
            <family val="2"/>
          </rPr>
          <t xml:space="preserve">Research brief, 4 Oct 2026 (council-reports/research-*.md), web-sourced, unaudited (4.73-4.84 on 1-2 Oct)</t>
        </r>
      </text>
    </comment>
  </commentList>
</comments>
</file>

<file path=xl/sharedStrings.xml><?xml version="1.0" encoding="utf-8"?>
<sst xmlns="http://schemas.openxmlformats.org/spreadsheetml/2006/main" count="281" uniqueCount="89">
  <si>
    <t xml:space="preserve">US macro and market monthly trend table, Jan 2018 - Sep 2026</t>
  </si>
  <si>
    <t xml:space="preserve">Blue = data from feeds (sources in header comments). Black = formulas. Yellow fill = sparse anchor value, not from a feed (see Anchors sheet). Grey = quarterly series held across the quarter.</t>
  </si>
  <si>
    <t xml:space="preserve">Month</t>
  </si>
  <si>
    <t xml:space="preserve">S&amp;P 500 (monthly avg)</t>
  </si>
  <si>
    <t xml:space="preserve">S&amp;P 500 y/y</t>
  </si>
  <si>
    <t xml:space="preserve">10y Treasury yield (%)</t>
  </si>
  <si>
    <t xml:space="preserve">1y Treasury yield (%)</t>
  </si>
  <si>
    <t xml:space="preserve">Fed funds effective (%)</t>
  </si>
  <si>
    <t xml:space="preserve">Curve 10y-1y (pp)</t>
  </si>
  <si>
    <t xml:space="preserve">CPI index (NSA)</t>
  </si>
  <si>
    <t xml:space="preserve">CPI inflation y/y</t>
  </si>
  <si>
    <t xml:space="preserve">Unemployment rate (%)</t>
  </si>
  <si>
    <t xml:space="preserve">Sahm rule (pp)</t>
  </si>
  <si>
    <t xml:space="preserve">Nominal GDP ($bn SAAR, qtr)</t>
  </si>
  <si>
    <t xml:space="preserve">Nominal GDP y/y</t>
  </si>
  <si>
    <t xml:space="preserve">Federal debt (% GDP, qtr)</t>
  </si>
  <si>
    <t xml:space="preserve">Federal interest paid ($bn SAAR, qtr)</t>
  </si>
  <si>
    <t xml:space="preserve">Interest paid (% GDP)</t>
  </si>
  <si>
    <t xml:space="preserve">M2 ($bn)</t>
  </si>
  <si>
    <t xml:space="preserve">M2 y/y</t>
  </si>
  <si>
    <t xml:space="preserve">Fed balance sheet ($trn)</t>
  </si>
  <si>
    <t xml:space="preserve">Industrial production (index)</t>
  </si>
  <si>
    <t xml:space="preserve">Industrial production y/y</t>
  </si>
  <si>
    <t xml:space="preserve">Retail sales ($mn)</t>
  </si>
  <si>
    <t xml:space="preserve">Retail sales y/y</t>
  </si>
  <si>
    <t xml:space="preserve">Nominal PCE ($bn SAAR)</t>
  </si>
  <si>
    <t xml:space="preserve">Nominal PCE y/y</t>
  </si>
  <si>
    <t xml:space="preserve">Real disposable income ($bn 2017)</t>
  </si>
  <si>
    <t xml:space="preserve">Real disposable income y/y</t>
  </si>
  <si>
    <t xml:space="preserve">Case-Shiller national HPI (SA)</t>
  </si>
  <si>
    <t xml:space="preserve">House prices y/y</t>
  </si>
  <si>
    <t xml:space="preserve">Brent ($/bbl, monthly avg)</t>
  </si>
  <si>
    <t xml:space="preserve">WTI ($/bbl, monthly avg)</t>
  </si>
  <si>
    <t xml:space="preserve">Gold ($/oz, monthly)</t>
  </si>
  <si>
    <t xml:space="preserve">Gold y/y</t>
  </si>
  <si>
    <t xml:space="preserve">VIX (monthly close)</t>
  </si>
  <si>
    <t xml:space="preserve">EUR/USD (monthly avg)</t>
  </si>
  <si>
    <t xml:space="preserve">2y Treasury yield (%)</t>
  </si>
  <si>
    <t xml:space="preserve">Sparse anchor values for series not available from a reachable data feed</t>
  </si>
  <si>
    <t xml:space="preserve">These are point values only. Cells marked "memory" are approximate recollections of the published series and must be verified on FRED, BEA, CBO or FactSet before any decision rests on them. Cells marked "brief" come from the 4 Oct 2026 research briefs (web-sourced, unaudited).</t>
  </si>
  <si>
    <t xml:space="preserve">Series</t>
  </si>
  <si>
    <t xml:space="preserve">Value</t>
  </si>
  <si>
    <t xml:space="preserve">Source / note</t>
  </si>
  <si>
    <t xml:space="preserve">Core PCE inflation y/y (%)</t>
  </si>
  <si>
    <t xml:space="preserve">Approximate value from analyst memory of the published series; verify on FRED/FactSet before relying on it</t>
  </si>
  <si>
    <t xml:space="preserve">Research brief, 4 Oct 2026 (council-reports/research-*.md), web-sourced, unaudited</t>
  </si>
  <si>
    <t xml:space="preserve">Research brief, 4 Oct 2026 (council-reports/research-*.md), web-sourced, unaudited (after BEA annual revision)</t>
  </si>
  <si>
    <t xml:space="preserve">Core CPI inflation y/y (%)</t>
  </si>
  <si>
    <t xml:space="preserve">Federal deficit, fiscal year (% GDP)</t>
  </si>
  <si>
    <t xml:space="preserve">Research brief, 4 Oct 2026 (council-reports/research-*.md), web-sourced, unaudited (~$2.1trn, 6.5-7% of GDP)</t>
  </si>
  <si>
    <t xml:space="preserve">HY credit spread, ICE BofA OAS (bp)</t>
  </si>
  <si>
    <t xml:space="preserve">Research brief, 4 Oct 2026 (council-reports/research-*.md), web-sourced, unaudited (30 Sep; 266 on 21 Sep, 324 on 1 Oct)</t>
  </si>
  <si>
    <t xml:space="preserve">Research brief, 4 Oct 2026 (council-reports/research-*.md), web-sourced, unaudited (4.73-4.84 on 1-2 Oct)</t>
  </si>
  <si>
    <t xml:space="preserve">10y TIPS real yield (%)</t>
  </si>
  <si>
    <t xml:space="preserve">Research brief, 4 Oct 2026 (council-reports/research-*.md), web-sourced, unaudited (2 Oct)</t>
  </si>
  <si>
    <t xml:space="preserve">S&amp;P 500 net profit margin (%)</t>
  </si>
  <si>
    <t xml:space="preserve">Approximate value from analyst memory of the published series; verify on FRED/FactSet before relying on it (CY2019)</t>
  </si>
  <si>
    <t xml:space="preserve">Research brief, 4 Oct 2026 (council-reports/research-*.md), web-sourced, unaudited (Q2 2026, record)</t>
  </si>
  <si>
    <t xml:space="preserve">S&amp;P 500 forward P/E (x)</t>
  </si>
  <si>
    <t xml:space="preserve">Research brief, 4 Oct 2026 (council-reports/research-*.md), web-sourced, unaudited (CAPE ~41)</t>
  </si>
  <si>
    <t xml:space="preserve">30y mortgage rate (%)</t>
  </si>
  <si>
    <t xml:space="preserve">10y Treasury yield, spot (%)</t>
  </si>
  <si>
    <t xml:space="preserve">Research brief, 4 Oct 2026 (council-reports/research-*.md), web-sourced, unaudited (2 Oct close; 5.34 on 1 Oct, highest since 2007)</t>
  </si>
  <si>
    <t xml:space="preserve">S&amp;P 500, spot</t>
  </si>
  <si>
    <t xml:space="preserve">Research brief, 4 Oct 2026 (council-reports/research-*.md), web-sourced, unaudited (2 Oct close)</t>
  </si>
  <si>
    <t xml:space="preserve">Fed funds target range, upper (%)</t>
  </si>
  <si>
    <t xml:space="preserve">Research brief, 4 Oct 2026 (council-reports/research-*.md), web-sourced, unaudited (hike 16 Sep 2026)</t>
  </si>
  <si>
    <t xml:space="preserve">Snapshot at selected months (all cells are INDEX/MATCH formulas into the Monthly sheet)</t>
  </si>
  <si>
    <t xml:space="preserve">Metric</t>
  </si>
  <si>
    <t xml:space="preserve">Built</t>
  </si>
  <si>
    <t xml:space="preserve">2026-10-10 15:20 UTC</t>
  </si>
  <si>
    <t xml:space="preserve">Why mirrors</t>
  </si>
  <si>
    <t xml:space="preserve">This environment cannot reach fred.stlouisfed.org, BLS, BEA, Treasury or Yahoo directly (network policy). Data were taken from GitHub-hosted mirrors that pull the official series automatically.</t>
  </si>
  <si>
    <t xml:space="preserve">FRED mirror</t>
  </si>
  <si>
    <t xml:space="preserve">github.com/njuettner/fed - daily GitHub Action calling the FRED API (series IDs in each header comment). Pulled 9-10 Oct 2026. Its 2y-yield, CPI-change and housing files stopped updating in 2024 and were not used beyond that.</t>
  </si>
  <si>
    <t xml:space="preserve">Shiller S&amp;P 500</t>
  </si>
  <si>
    <t xml:space="preserve">github.com/datasets/s-and-p-500 (data/data.csv), monthly average price; earnings/dividend columns stop in mid-2023 and were not used.</t>
  </si>
  <si>
    <t xml:space="preserve">CPI</t>
  </si>
  <si>
    <t xml:space="preserve">FRED CPIAUCNS via the FRED mirror (cpi_raw), cross-checked with github.com/datasets/cpi-us.</t>
  </si>
  <si>
    <t xml:space="preserve">Gold, Brent, VIX, house prices</t>
  </si>
  <si>
    <t xml:space="preserve">github.com/datasets/gold-prices, oil-prices, finance-vix, house-prices-us.</t>
  </si>
  <si>
    <t xml:space="preserve">Derived columns</t>
  </si>
  <si>
    <t xml:space="preserve">All y/y, curve and ratio columns are live formulas on the Monthly sheet; change an input and they recalculate.</t>
  </si>
  <si>
    <t xml:space="preserve">Data prep</t>
  </si>
  <si>
    <t xml:space="preserve">Daily series (DGS1, DEXUSEU, DCOILWTICO, RESPPANWW) were averaged to monthly before writing. Quarterly series are held across the quarter.</t>
  </si>
  <si>
    <t xml:space="preserve">Not available</t>
  </si>
  <si>
    <t xml:space="preserve">Core CPI, core PCE, federal deficit, HY/IG spreads, 2y yield after Feb 2024, TIPS real yields, payrolls, mortgage rates, S&amp;P earnings/margins/P-E. Point values for these are on the Anchors sheet, with provenance.</t>
  </si>
  <si>
    <t xml:space="preserve">Caveat</t>
  </si>
  <si>
    <t xml:space="preserve">Anchor values marked "memory" are approximate and unverified. Feed values are as published by the mirrors on the pull date and are subject to official revisions.</t>
  </si>
</sst>
</file>

<file path=xl/styles.xml><?xml version="1.0" encoding="utf-8"?>
<styleSheet xmlns="http://schemas.openxmlformats.org/spreadsheetml/2006/main">
  <numFmts count="7">
    <numFmt numFmtId="164" formatCode="General"/>
    <numFmt numFmtId="165" formatCode="mmm\-yy"/>
    <numFmt numFmtId="166" formatCode="#,##0"/>
    <numFmt numFmtId="167" formatCode="0.0%"/>
    <numFmt numFmtId="168" formatCode="0.00"/>
    <numFmt numFmtId="169" formatCode="0.0"/>
    <numFmt numFmtId="170" formatCode="0.000"/>
  </numFmts>
  <fonts count="14">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1"/>
      <color theme="1"/>
      <name val="Arial"/>
      <family val="0"/>
      <charset val="1"/>
    </font>
    <font>
      <i val="true"/>
      <sz val="9"/>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color rgb="FF000000"/>
      <name val="Arial"/>
      <family val="0"/>
      <charset val="1"/>
    </font>
    <font>
      <sz val="10"/>
      <name val="Arial"/>
      <family val="2"/>
    </font>
    <font>
      <sz val="9"/>
      <name val="Arial"/>
      <family val="0"/>
      <charset val="1"/>
    </font>
    <font>
      <sz val="10"/>
      <name val="Arial"/>
      <family val="0"/>
      <charset val="1"/>
    </font>
  </fonts>
  <fills count="5">
    <fill>
      <patternFill patternType="none"/>
    </fill>
    <fill>
      <patternFill patternType="gray125"/>
    </fill>
    <fill>
      <patternFill patternType="solid">
        <fgColor rgb="FF2D5A88"/>
        <bgColor rgb="FF666699"/>
      </patternFill>
    </fill>
    <fill>
      <patternFill patternType="solid">
        <fgColor rgb="FFF2F2F2"/>
        <bgColor rgb="FFFFFFFF"/>
      </patternFill>
    </fill>
    <fill>
      <patternFill patternType="solid">
        <fgColor rgb="FFFFFF99"/>
        <bgColor rgb="FFF2F2F2"/>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9"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8" fontId="9"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D5A88"/>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0000"/>
          <bgColor rgb="FF000000"/>
        </patternFill>
      </fill>
    </dxf>
    <dxf>
      <fill>
        <patternFill patternType="solid">
          <fgColor rgb="FFF2F2F2"/>
          <bgColor rgb="FF000000"/>
        </patternFill>
      </fill>
    </dxf>
    <dxf>
      <fill>
        <patternFill patternType="solid">
          <fgColor rgb="FFFFFF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D5A8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36" min="2" style="0" width="13"/>
  </cols>
  <sheetData>
    <row r="1" customFormat="false" ht="15" hidden="false" customHeight="false" outlineLevel="0" collapsed="false">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customFormat="false" ht="15" hidden="false" customHeight="false" outlineLevel="0" collapsed="false">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customFormat="false" ht="54"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c r="R4" s="4" t="s">
        <v>19</v>
      </c>
      <c r="S4" s="4" t="s">
        <v>20</v>
      </c>
      <c r="T4" s="4" t="s">
        <v>21</v>
      </c>
      <c r="U4" s="4" t="s">
        <v>22</v>
      </c>
      <c r="V4" s="4" t="s">
        <v>23</v>
      </c>
      <c r="W4" s="4" t="s">
        <v>24</v>
      </c>
      <c r="X4" s="4" t="s">
        <v>25</v>
      </c>
      <c r="Y4" s="4" t="s">
        <v>26</v>
      </c>
      <c r="Z4" s="4" t="s">
        <v>27</v>
      </c>
      <c r="AA4" s="4" t="s">
        <v>28</v>
      </c>
      <c r="AB4" s="4" t="s">
        <v>29</v>
      </c>
      <c r="AC4" s="4" t="s">
        <v>30</v>
      </c>
      <c r="AD4" s="4" t="s">
        <v>31</v>
      </c>
      <c r="AE4" s="4" t="s">
        <v>32</v>
      </c>
      <c r="AF4" s="4" t="s">
        <v>33</v>
      </c>
      <c r="AG4" s="4" t="s">
        <v>34</v>
      </c>
      <c r="AH4" s="4" t="s">
        <v>35</v>
      </c>
      <c r="AI4" s="4" t="s">
        <v>36</v>
      </c>
      <c r="AJ4" s="4" t="s">
        <v>37</v>
      </c>
    </row>
    <row r="5" customFormat="false" ht="15" hidden="false" customHeight="false" outlineLevel="0" collapsed="false">
      <c r="A5" s="5" t="n">
        <v>43101</v>
      </c>
      <c r="B5" s="6" t="n">
        <v>2789.8</v>
      </c>
      <c r="C5" s="7"/>
      <c r="D5" s="8" t="n">
        <v>2.58</v>
      </c>
      <c r="E5" s="8" t="n">
        <v>1.8029</v>
      </c>
      <c r="F5" s="8" t="n">
        <v>1.41</v>
      </c>
      <c r="G5" s="9" t="n">
        <f aca="false">IF(OR(D5="",E5=""),"",D5-E5)</f>
        <v>0.7771</v>
      </c>
      <c r="H5" s="10" t="n">
        <v>247.867</v>
      </c>
      <c r="I5" s="7"/>
      <c r="J5" s="10" t="n">
        <v>4</v>
      </c>
      <c r="K5" s="8" t="n">
        <v>-0.07</v>
      </c>
      <c r="L5" s="11" t="n">
        <v>20328.553</v>
      </c>
      <c r="M5" s="7"/>
      <c r="N5" s="12" t="n">
        <v>103.7439</v>
      </c>
      <c r="O5" s="11" t="n">
        <v>507.619</v>
      </c>
      <c r="P5" s="7" t="n">
        <f aca="false">IF(OR(O5="",L5="",L5=0),"",O5/L5)</f>
        <v>0.0249707394323639</v>
      </c>
      <c r="Q5" s="6" t="n">
        <v>13902.4</v>
      </c>
      <c r="R5" s="7"/>
      <c r="S5" s="8" t="n">
        <v>4.4379</v>
      </c>
      <c r="T5" s="10" t="n">
        <v>101.4625</v>
      </c>
      <c r="U5" s="7"/>
      <c r="V5" s="6" t="n">
        <v>481190</v>
      </c>
      <c r="W5" s="7"/>
      <c r="X5" s="6" t="n">
        <v>13703.3</v>
      </c>
      <c r="Y5" s="7"/>
      <c r="Z5" s="6" t="n">
        <v>14886.6</v>
      </c>
      <c r="AA5" s="7"/>
      <c r="AB5" s="10" t="n">
        <v>196.08</v>
      </c>
      <c r="AC5" s="7"/>
      <c r="AD5" s="8" t="n">
        <v>69.08</v>
      </c>
      <c r="AE5" s="8" t="n">
        <v>63.6986</v>
      </c>
      <c r="AF5" s="6" t="n">
        <v>1331</v>
      </c>
      <c r="AG5" s="7"/>
      <c r="AH5" s="10" t="n">
        <v>13.54</v>
      </c>
      <c r="AI5" s="13" t="n">
        <v>1.2197</v>
      </c>
      <c r="AJ5" s="8" t="n">
        <v>2.38</v>
      </c>
    </row>
    <row r="6" customFormat="false" ht="15" hidden="false" customHeight="false" outlineLevel="0" collapsed="false">
      <c r="A6" s="5" t="n">
        <v>43132</v>
      </c>
      <c r="B6" s="6" t="n">
        <v>2705.16</v>
      </c>
      <c r="C6" s="7"/>
      <c r="D6" s="8" t="n">
        <v>2.86</v>
      </c>
      <c r="E6" s="8" t="n">
        <v>1.9637</v>
      </c>
      <c r="F6" s="8" t="n">
        <v>1.42</v>
      </c>
      <c r="G6" s="9" t="n">
        <f aca="false">IF(OR(D6="",E6=""),"",D6-E6)</f>
        <v>0.8963</v>
      </c>
      <c r="H6" s="10" t="n">
        <v>248.991</v>
      </c>
      <c r="I6" s="7"/>
      <c r="J6" s="10" t="n">
        <v>4.1</v>
      </c>
      <c r="K6" s="8" t="n">
        <v>-0.03</v>
      </c>
      <c r="L6" s="11" t="n">
        <v>20328.553</v>
      </c>
      <c r="M6" s="7"/>
      <c r="N6" s="12" t="n">
        <v>103.7439</v>
      </c>
      <c r="O6" s="11" t="n">
        <v>507.619</v>
      </c>
      <c r="P6" s="7" t="n">
        <f aca="false">IF(OR(O6="",L6="",L6=0),"",O6/L6)</f>
        <v>0.0249707394323639</v>
      </c>
      <c r="Q6" s="6" t="n">
        <v>13949.8</v>
      </c>
      <c r="R6" s="7"/>
      <c r="S6" s="8" t="n">
        <v>4.4152</v>
      </c>
      <c r="T6" s="10" t="n">
        <v>101.7085</v>
      </c>
      <c r="U6" s="7"/>
      <c r="V6" s="6" t="n">
        <v>484223</v>
      </c>
      <c r="W6" s="7"/>
      <c r="X6" s="6" t="n">
        <v>13738.7</v>
      </c>
      <c r="Y6" s="7"/>
      <c r="Z6" s="6" t="n">
        <v>14921.1</v>
      </c>
      <c r="AA6" s="7"/>
      <c r="AB6" s="10" t="n">
        <v>196.871</v>
      </c>
      <c r="AC6" s="7"/>
      <c r="AD6" s="8" t="n">
        <v>65.32</v>
      </c>
      <c r="AE6" s="8" t="n">
        <v>62.2295</v>
      </c>
      <c r="AF6" s="6" t="n">
        <v>1331</v>
      </c>
      <c r="AG6" s="7"/>
      <c r="AH6" s="10" t="n">
        <v>19.85</v>
      </c>
      <c r="AI6" s="13" t="n">
        <v>1.234</v>
      </c>
      <c r="AJ6" s="8" t="n">
        <v>2.61</v>
      </c>
    </row>
    <row r="7" customFormat="false" ht="15" hidden="false" customHeight="false" outlineLevel="0" collapsed="false">
      <c r="A7" s="5" t="n">
        <v>43160</v>
      </c>
      <c r="B7" s="6" t="n">
        <v>2702.77</v>
      </c>
      <c r="C7" s="7"/>
      <c r="D7" s="8" t="n">
        <v>2.84</v>
      </c>
      <c r="E7" s="8" t="n">
        <v>2.0629</v>
      </c>
      <c r="F7" s="8" t="n">
        <v>1.51</v>
      </c>
      <c r="G7" s="9" t="n">
        <f aca="false">IF(OR(D7="",E7=""),"",D7-E7)</f>
        <v>0.7771</v>
      </c>
      <c r="H7" s="10" t="n">
        <v>249.554</v>
      </c>
      <c r="I7" s="7"/>
      <c r="J7" s="10" t="n">
        <v>4</v>
      </c>
      <c r="K7" s="8" t="n">
        <v>-0.03</v>
      </c>
      <c r="L7" s="11" t="n">
        <v>20328.553</v>
      </c>
      <c r="M7" s="7"/>
      <c r="N7" s="12" t="n">
        <v>103.7439</v>
      </c>
      <c r="O7" s="11" t="n">
        <v>507.619</v>
      </c>
      <c r="P7" s="7" t="n">
        <f aca="false">IF(OR(O7="",L7="",L7=0),"",O7/L7)</f>
        <v>0.0249707394323639</v>
      </c>
      <c r="Q7" s="6" t="n">
        <v>14014.5</v>
      </c>
      <c r="R7" s="7"/>
      <c r="S7" s="8" t="n">
        <v>4.3992</v>
      </c>
      <c r="T7" s="10" t="n">
        <v>102.2067</v>
      </c>
      <c r="U7" s="7"/>
      <c r="V7" s="6" t="n">
        <v>484447</v>
      </c>
      <c r="W7" s="7"/>
      <c r="X7" s="6" t="n">
        <v>13793.2</v>
      </c>
      <c r="Y7" s="7"/>
      <c r="Z7" s="6" t="n">
        <v>14974.8</v>
      </c>
      <c r="AA7" s="7"/>
      <c r="AB7" s="10" t="n">
        <v>198.537</v>
      </c>
      <c r="AC7" s="7"/>
      <c r="AD7" s="8" t="n">
        <v>66.02</v>
      </c>
      <c r="AE7" s="8" t="n">
        <v>62.7248</v>
      </c>
      <c r="AF7" s="6" t="n">
        <v>1325</v>
      </c>
      <c r="AG7" s="7"/>
      <c r="AH7" s="10" t="n">
        <v>19.97</v>
      </c>
      <c r="AI7" s="13" t="n">
        <v>1.2334</v>
      </c>
      <c r="AJ7" s="8" t="n">
        <v>2.81</v>
      </c>
    </row>
    <row r="8" customFormat="false" ht="15" hidden="false" customHeight="false" outlineLevel="0" collapsed="false">
      <c r="A8" s="5" t="n">
        <v>43191</v>
      </c>
      <c r="B8" s="6" t="n">
        <v>2653.63</v>
      </c>
      <c r="C8" s="7"/>
      <c r="D8" s="8" t="n">
        <v>2.87</v>
      </c>
      <c r="E8" s="8" t="n">
        <v>2.1538</v>
      </c>
      <c r="F8" s="8" t="n">
        <v>1.69</v>
      </c>
      <c r="G8" s="9" t="n">
        <f aca="false">IF(OR(D8="",E8=""),"",D8-E8)</f>
        <v>0.7162</v>
      </c>
      <c r="H8" s="10" t="n">
        <v>250.546</v>
      </c>
      <c r="I8" s="7"/>
      <c r="J8" s="10" t="n">
        <v>4</v>
      </c>
      <c r="K8" s="8" t="n">
        <v>0</v>
      </c>
      <c r="L8" s="11" t="n">
        <v>20580.912</v>
      </c>
      <c r="M8" s="7"/>
      <c r="N8" s="12" t="n">
        <v>102.9841</v>
      </c>
      <c r="O8" s="11" t="n">
        <v>531.778</v>
      </c>
      <c r="P8" s="7" t="n">
        <f aca="false">IF(OR(O8="",L8="",L8=0),"",O8/L8)</f>
        <v>0.0258384079383849</v>
      </c>
      <c r="Q8" s="6" t="n">
        <v>14034.8</v>
      </c>
      <c r="R8" s="7"/>
      <c r="S8" s="8" t="n">
        <v>4.3821</v>
      </c>
      <c r="T8" s="10" t="n">
        <v>103.3329</v>
      </c>
      <c r="U8" s="7"/>
      <c r="V8" s="6" t="n">
        <v>484252</v>
      </c>
      <c r="W8" s="7"/>
      <c r="X8" s="6" t="n">
        <v>13838.4</v>
      </c>
      <c r="Y8" s="7"/>
      <c r="Z8" s="6" t="n">
        <v>15007.2</v>
      </c>
      <c r="AA8" s="7"/>
      <c r="AB8" s="10" t="n">
        <v>200.576</v>
      </c>
      <c r="AC8" s="7"/>
      <c r="AD8" s="8" t="n">
        <v>72.11</v>
      </c>
      <c r="AE8" s="8" t="n">
        <v>66.2538</v>
      </c>
      <c r="AF8" s="6" t="n">
        <v>1335</v>
      </c>
      <c r="AG8" s="7"/>
      <c r="AH8" s="10" t="n">
        <v>15.93</v>
      </c>
      <c r="AI8" s="13" t="n">
        <v>1.227</v>
      </c>
      <c r="AJ8" s="8" t="n">
        <v>2.88</v>
      </c>
    </row>
    <row r="9" customFormat="false" ht="15" hidden="false" customHeight="false" outlineLevel="0" collapsed="false">
      <c r="A9" s="5" t="n">
        <v>43221</v>
      </c>
      <c r="B9" s="6" t="n">
        <v>2701.49</v>
      </c>
      <c r="C9" s="7"/>
      <c r="D9" s="8" t="n">
        <v>2.98</v>
      </c>
      <c r="E9" s="8" t="n">
        <v>2.2736</v>
      </c>
      <c r="F9" s="8" t="n">
        <v>1.7</v>
      </c>
      <c r="G9" s="9" t="n">
        <f aca="false">IF(OR(D9="",E9=""),"",D9-E9)</f>
        <v>0.7064</v>
      </c>
      <c r="H9" s="10" t="n">
        <v>251.588</v>
      </c>
      <c r="I9" s="7"/>
      <c r="J9" s="10" t="n">
        <v>3.8</v>
      </c>
      <c r="K9" s="8" t="n">
        <v>-0.1</v>
      </c>
      <c r="L9" s="11" t="n">
        <v>20580.912</v>
      </c>
      <c r="M9" s="7"/>
      <c r="N9" s="12" t="n">
        <v>102.9841</v>
      </c>
      <c r="O9" s="11" t="n">
        <v>531.778</v>
      </c>
      <c r="P9" s="7" t="n">
        <f aca="false">IF(OR(O9="",L9="",L9=0),"",O9/L9)</f>
        <v>0.0258384079383849</v>
      </c>
      <c r="Q9" s="6" t="n">
        <v>14091</v>
      </c>
      <c r="R9" s="7"/>
      <c r="S9" s="8" t="n">
        <v>4.3434</v>
      </c>
      <c r="T9" s="10" t="n">
        <v>102.4024</v>
      </c>
      <c r="U9" s="7"/>
      <c r="V9" s="6" t="n">
        <v>492202</v>
      </c>
      <c r="W9" s="7"/>
      <c r="X9" s="6" t="n">
        <v>13905</v>
      </c>
      <c r="Y9" s="7"/>
      <c r="Z9" s="6" t="n">
        <v>15057.8</v>
      </c>
      <c r="AA9" s="7"/>
      <c r="AB9" s="10" t="n">
        <v>202.413</v>
      </c>
      <c r="AC9" s="7"/>
      <c r="AD9" s="8" t="n">
        <v>76.98</v>
      </c>
      <c r="AE9" s="8" t="n">
        <v>69.9782</v>
      </c>
      <c r="AF9" s="6" t="n">
        <v>1303</v>
      </c>
      <c r="AG9" s="7"/>
      <c r="AH9" s="10" t="n">
        <v>15.43</v>
      </c>
      <c r="AI9" s="13" t="n">
        <v>1.1823</v>
      </c>
      <c r="AJ9" s="8" t="n">
        <v>2.95</v>
      </c>
    </row>
    <row r="10" customFormat="false" ht="15" hidden="false" customHeight="false" outlineLevel="0" collapsed="false">
      <c r="A10" s="5" t="n">
        <v>43252</v>
      </c>
      <c r="B10" s="6" t="n">
        <v>2754.35</v>
      </c>
      <c r="C10" s="7"/>
      <c r="D10" s="8" t="n">
        <v>2.91</v>
      </c>
      <c r="E10" s="8" t="n">
        <v>2.3281</v>
      </c>
      <c r="F10" s="8" t="n">
        <v>1.82</v>
      </c>
      <c r="G10" s="9" t="n">
        <f aca="false">IF(OR(D10="",E10=""),"",D10-E10)</f>
        <v>0.5819</v>
      </c>
      <c r="H10" s="10" t="n">
        <v>251.989</v>
      </c>
      <c r="I10" s="7"/>
      <c r="J10" s="10" t="n">
        <v>4</v>
      </c>
      <c r="K10" s="8" t="n">
        <v>0</v>
      </c>
      <c r="L10" s="11" t="n">
        <v>20580.912</v>
      </c>
      <c r="M10" s="7"/>
      <c r="N10" s="12" t="n">
        <v>102.9841</v>
      </c>
      <c r="O10" s="11" t="n">
        <v>531.778</v>
      </c>
      <c r="P10" s="7" t="n">
        <f aca="false">IF(OR(O10="",L10="",L10=0),"",O10/L10)</f>
        <v>0.0258384079383849</v>
      </c>
      <c r="Q10" s="6" t="n">
        <v>14133.2</v>
      </c>
      <c r="R10" s="7"/>
      <c r="S10" s="8" t="n">
        <v>4.3164</v>
      </c>
      <c r="T10" s="10" t="n">
        <v>103.198</v>
      </c>
      <c r="U10" s="7"/>
      <c r="V10" s="6" t="n">
        <v>490468</v>
      </c>
      <c r="W10" s="7"/>
      <c r="X10" s="6" t="n">
        <v>13930.4</v>
      </c>
      <c r="Y10" s="7"/>
      <c r="Z10" s="6" t="n">
        <v>15119.3</v>
      </c>
      <c r="AA10" s="7"/>
      <c r="AB10" s="10" t="n">
        <v>204.005</v>
      </c>
      <c r="AC10" s="7"/>
      <c r="AD10" s="8" t="n">
        <v>74.41</v>
      </c>
      <c r="AE10" s="8" t="n">
        <v>67.8733</v>
      </c>
      <c r="AF10" s="6" t="n">
        <v>1282</v>
      </c>
      <c r="AG10" s="7"/>
      <c r="AH10" s="10" t="n">
        <v>16.09</v>
      </c>
      <c r="AI10" s="13" t="n">
        <v>1.1679</v>
      </c>
      <c r="AJ10" s="8" t="n">
        <v>3.02</v>
      </c>
    </row>
    <row r="11" customFormat="false" ht="15" hidden="false" customHeight="false" outlineLevel="0" collapsed="false">
      <c r="A11" s="5" t="n">
        <v>43282</v>
      </c>
      <c r="B11" s="6" t="n">
        <v>2793.64</v>
      </c>
      <c r="C11" s="7"/>
      <c r="D11" s="8" t="n">
        <v>2.89</v>
      </c>
      <c r="E11" s="8" t="n">
        <v>2.3876</v>
      </c>
      <c r="F11" s="8" t="n">
        <v>1.91</v>
      </c>
      <c r="G11" s="9" t="n">
        <f aca="false">IF(OR(D11="",E11=""),"",D11-E11)</f>
        <v>0.5024</v>
      </c>
      <c r="H11" s="10" t="n">
        <v>252.006</v>
      </c>
      <c r="I11" s="7"/>
      <c r="J11" s="10" t="n">
        <v>3.8</v>
      </c>
      <c r="K11" s="8" t="n">
        <v>-0.07</v>
      </c>
      <c r="L11" s="11" t="n">
        <v>20798.73</v>
      </c>
      <c r="M11" s="7"/>
      <c r="N11" s="12" t="n">
        <v>103.4489</v>
      </c>
      <c r="O11" s="11" t="n">
        <v>551.891</v>
      </c>
      <c r="P11" s="7" t="n">
        <f aca="false">IF(OR(O11="",L11="",L11=0),"",O11/L11)</f>
        <v>0.0265348413100223</v>
      </c>
      <c r="Q11" s="6" t="n">
        <v>14170</v>
      </c>
      <c r="R11" s="7"/>
      <c r="S11" s="8" t="n">
        <v>4.2876</v>
      </c>
      <c r="T11" s="10" t="n">
        <v>103.3646</v>
      </c>
      <c r="U11" s="7"/>
      <c r="V11" s="6" t="n">
        <v>493382</v>
      </c>
      <c r="W11" s="7"/>
      <c r="X11" s="6" t="n">
        <v>13974.8</v>
      </c>
      <c r="Y11" s="7"/>
      <c r="Z11" s="6" t="n">
        <v>15184.7</v>
      </c>
      <c r="AA11" s="7"/>
      <c r="AB11" s="10" t="n">
        <v>204.914</v>
      </c>
      <c r="AC11" s="7"/>
      <c r="AD11" s="8" t="n">
        <v>74.25</v>
      </c>
      <c r="AE11" s="8" t="n">
        <v>70.9814</v>
      </c>
      <c r="AF11" s="6" t="n">
        <v>1238</v>
      </c>
      <c r="AG11" s="7"/>
      <c r="AH11" s="10" t="n">
        <v>12.83</v>
      </c>
      <c r="AI11" s="13" t="n">
        <v>1.1685</v>
      </c>
      <c r="AJ11" s="8" t="n">
        <v>3.1</v>
      </c>
    </row>
    <row r="12" customFormat="false" ht="15" hidden="false" customHeight="false" outlineLevel="0" collapsed="false">
      <c r="A12" s="5" t="n">
        <v>43313</v>
      </c>
      <c r="B12" s="6" t="n">
        <v>2857.82</v>
      </c>
      <c r="C12" s="7"/>
      <c r="D12" s="8" t="n">
        <v>2.89</v>
      </c>
      <c r="E12" s="8" t="n">
        <v>2.4457</v>
      </c>
      <c r="F12" s="8" t="n">
        <v>1.91</v>
      </c>
      <c r="G12" s="9" t="n">
        <f aca="false">IF(OR(D12="",E12=""),"",D12-E12)</f>
        <v>0.4443</v>
      </c>
      <c r="H12" s="10" t="n">
        <v>252.146</v>
      </c>
      <c r="I12" s="7"/>
      <c r="J12" s="10" t="n">
        <v>3.8</v>
      </c>
      <c r="K12" s="8" t="n">
        <v>0</v>
      </c>
      <c r="L12" s="11" t="n">
        <v>20798.73</v>
      </c>
      <c r="M12" s="7"/>
      <c r="N12" s="12" t="n">
        <v>103.4489</v>
      </c>
      <c r="O12" s="11" t="n">
        <v>551.891</v>
      </c>
      <c r="P12" s="7" t="n">
        <f aca="false">IF(OR(O12="",L12="",L12=0),"",O12/L12)</f>
        <v>0.0265348413100223</v>
      </c>
      <c r="Q12" s="6" t="n">
        <v>14221.3</v>
      </c>
      <c r="R12" s="7"/>
      <c r="S12" s="8" t="n">
        <v>4.2381</v>
      </c>
      <c r="T12" s="10" t="n">
        <v>104.0327</v>
      </c>
      <c r="U12" s="7"/>
      <c r="V12" s="6" t="n">
        <v>493757</v>
      </c>
      <c r="W12" s="7"/>
      <c r="X12" s="6" t="n">
        <v>14014</v>
      </c>
      <c r="Y12" s="7"/>
      <c r="Z12" s="6" t="n">
        <v>15238.6</v>
      </c>
      <c r="AA12" s="7"/>
      <c r="AB12" s="10" t="n">
        <v>205.292</v>
      </c>
      <c r="AC12" s="7"/>
      <c r="AD12" s="8" t="n">
        <v>72.53</v>
      </c>
      <c r="AE12" s="8" t="n">
        <v>68.0557</v>
      </c>
      <c r="AF12" s="6" t="n">
        <v>1202</v>
      </c>
      <c r="AG12" s="7"/>
      <c r="AH12" s="10" t="n">
        <v>12.86</v>
      </c>
      <c r="AI12" s="13" t="n">
        <v>1.1547</v>
      </c>
      <c r="AJ12" s="8" t="n">
        <v>3.06</v>
      </c>
    </row>
    <row r="13" customFormat="false" ht="15" hidden="false" customHeight="false" outlineLevel="0" collapsed="false">
      <c r="A13" s="5" t="n">
        <v>43344</v>
      </c>
      <c r="B13" s="6" t="n">
        <v>2901.5</v>
      </c>
      <c r="C13" s="7"/>
      <c r="D13" s="8" t="n">
        <v>3</v>
      </c>
      <c r="E13" s="8" t="n">
        <v>2.5579</v>
      </c>
      <c r="F13" s="8" t="n">
        <v>1.95</v>
      </c>
      <c r="G13" s="9" t="n">
        <f aca="false">IF(OR(D13="",E13=""),"",D13-E13)</f>
        <v>0.4421</v>
      </c>
      <c r="H13" s="10" t="n">
        <v>252.439</v>
      </c>
      <c r="I13" s="7"/>
      <c r="J13" s="10" t="n">
        <v>3.7</v>
      </c>
      <c r="K13" s="8" t="n">
        <v>-0.1</v>
      </c>
      <c r="L13" s="11" t="n">
        <v>20798.73</v>
      </c>
      <c r="M13" s="7"/>
      <c r="N13" s="12" t="n">
        <v>103.4489</v>
      </c>
      <c r="O13" s="11" t="n">
        <v>551.891</v>
      </c>
      <c r="P13" s="7" t="n">
        <f aca="false">IF(OR(O13="",L13="",L13=0),"",O13/L13)</f>
        <v>0.0265348413100223</v>
      </c>
      <c r="Q13" s="6" t="n">
        <v>14243.9</v>
      </c>
      <c r="R13" s="7"/>
      <c r="S13" s="8" t="n">
        <v>4.2051</v>
      </c>
      <c r="T13" s="10" t="n">
        <v>104.1004</v>
      </c>
      <c r="U13" s="7"/>
      <c r="V13" s="6" t="n">
        <v>491744</v>
      </c>
      <c r="W13" s="7"/>
      <c r="X13" s="6" t="n">
        <v>14017.8</v>
      </c>
      <c r="Y13" s="7"/>
      <c r="Z13" s="6" t="n">
        <v>15237.5</v>
      </c>
      <c r="AA13" s="7"/>
      <c r="AB13" s="10" t="n">
        <v>205.339</v>
      </c>
      <c r="AC13" s="7"/>
      <c r="AD13" s="8" t="n">
        <v>78.89</v>
      </c>
      <c r="AE13" s="8" t="n">
        <v>70.2321</v>
      </c>
      <c r="AF13" s="6" t="n">
        <v>1198</v>
      </c>
      <c r="AG13" s="7"/>
      <c r="AH13" s="10" t="n">
        <v>12.12</v>
      </c>
      <c r="AI13" s="13" t="n">
        <v>1.1667</v>
      </c>
      <c r="AJ13" s="8" t="n">
        <v>3.16</v>
      </c>
    </row>
    <row r="14" customFormat="false" ht="15" hidden="false" customHeight="false" outlineLevel="0" collapsed="false">
      <c r="A14" s="5" t="n">
        <v>43374</v>
      </c>
      <c r="B14" s="6" t="n">
        <v>2785.46</v>
      </c>
      <c r="C14" s="7"/>
      <c r="D14" s="8" t="n">
        <v>3.15</v>
      </c>
      <c r="E14" s="8" t="n">
        <v>2.6518</v>
      </c>
      <c r="F14" s="8" t="n">
        <v>2.19</v>
      </c>
      <c r="G14" s="9" t="n">
        <f aca="false">IF(OR(D14="",E14=""),"",D14-E14)</f>
        <v>0.4982</v>
      </c>
      <c r="H14" s="10" t="n">
        <v>252.885</v>
      </c>
      <c r="I14" s="7"/>
      <c r="J14" s="10" t="n">
        <v>3.8</v>
      </c>
      <c r="K14" s="8" t="n">
        <v>0</v>
      </c>
      <c r="L14" s="11" t="n">
        <v>20917.867</v>
      </c>
      <c r="M14" s="7"/>
      <c r="N14" s="12" t="n">
        <v>105.0494</v>
      </c>
      <c r="O14" s="11" t="n">
        <v>571.229</v>
      </c>
      <c r="P14" s="7" t="n">
        <f aca="false">IF(OR(O14="",L14="",L14=0),"",O14/L14)</f>
        <v>0.0273081858680907</v>
      </c>
      <c r="Q14" s="6" t="n">
        <v>14257.6</v>
      </c>
      <c r="R14" s="7"/>
      <c r="S14" s="8" t="n">
        <v>4.168</v>
      </c>
      <c r="T14" s="10" t="n">
        <v>103.9856</v>
      </c>
      <c r="U14" s="7"/>
      <c r="V14" s="6" t="n">
        <v>496568</v>
      </c>
      <c r="W14" s="7"/>
      <c r="X14" s="6" t="n">
        <v>14083.1</v>
      </c>
      <c r="Y14" s="7"/>
      <c r="Z14" s="6" t="n">
        <v>15274.1</v>
      </c>
      <c r="AA14" s="7"/>
      <c r="AB14" s="10" t="n">
        <v>205.336</v>
      </c>
      <c r="AC14" s="7"/>
      <c r="AD14" s="8" t="n">
        <v>81.03</v>
      </c>
      <c r="AE14" s="8" t="n">
        <v>70.7487</v>
      </c>
      <c r="AF14" s="6" t="n">
        <v>1215</v>
      </c>
      <c r="AG14" s="7"/>
      <c r="AH14" s="10" t="n">
        <v>21.23</v>
      </c>
      <c r="AI14" s="13" t="n">
        <v>1.1488</v>
      </c>
      <c r="AJ14" s="8" t="n">
        <v>3.27</v>
      </c>
    </row>
    <row r="15" customFormat="false" ht="15" hidden="false" customHeight="false" outlineLevel="0" collapsed="false">
      <c r="A15" s="5" t="n">
        <v>43405</v>
      </c>
      <c r="B15" s="6" t="n">
        <v>2723.23</v>
      </c>
      <c r="C15" s="7"/>
      <c r="D15" s="8" t="n">
        <v>3.12</v>
      </c>
      <c r="E15" s="8" t="n">
        <v>2.6985</v>
      </c>
      <c r="F15" s="8" t="n">
        <v>2.2</v>
      </c>
      <c r="G15" s="9" t="n">
        <f aca="false">IF(OR(D15="",E15=""),"",D15-E15)</f>
        <v>0.4215</v>
      </c>
      <c r="H15" s="10" t="n">
        <v>252.038</v>
      </c>
      <c r="I15" s="7"/>
      <c r="J15" s="10" t="n">
        <v>3.8</v>
      </c>
      <c r="K15" s="8" t="n">
        <v>0</v>
      </c>
      <c r="L15" s="11" t="n">
        <v>20917.867</v>
      </c>
      <c r="M15" s="7"/>
      <c r="N15" s="12" t="n">
        <v>105.0494</v>
      </c>
      <c r="O15" s="11" t="n">
        <v>571.229</v>
      </c>
      <c r="P15" s="7" t="n">
        <f aca="false">IF(OR(O15="",L15="",L15=0),"",O15/L15)</f>
        <v>0.0273081858680907</v>
      </c>
      <c r="Q15" s="6" t="n">
        <v>14288.4</v>
      </c>
      <c r="R15" s="7"/>
      <c r="S15" s="8" t="n">
        <v>4.1228</v>
      </c>
      <c r="T15" s="10" t="n">
        <v>104.0681</v>
      </c>
      <c r="U15" s="7"/>
      <c r="V15" s="6" t="n">
        <v>499451</v>
      </c>
      <c r="W15" s="7"/>
      <c r="X15" s="6" t="n">
        <v>14162.9</v>
      </c>
      <c r="Y15" s="7"/>
      <c r="Z15" s="6" t="n">
        <v>15315.2</v>
      </c>
      <c r="AA15" s="7"/>
      <c r="AB15" s="10" t="n">
        <v>205.075</v>
      </c>
      <c r="AC15" s="7"/>
      <c r="AD15" s="8" t="n">
        <v>64.75</v>
      </c>
      <c r="AE15" s="8" t="n">
        <v>56.9635</v>
      </c>
      <c r="AF15" s="6" t="n">
        <v>1221</v>
      </c>
      <c r="AG15" s="7"/>
      <c r="AH15" s="10" t="n">
        <v>18.07</v>
      </c>
      <c r="AI15" s="13" t="n">
        <v>1.1364</v>
      </c>
      <c r="AJ15" s="8" t="n">
        <v>3.36</v>
      </c>
    </row>
    <row r="16" customFormat="false" ht="15" hidden="false" customHeight="false" outlineLevel="0" collapsed="false">
      <c r="A16" s="5" t="n">
        <v>43435</v>
      </c>
      <c r="B16" s="6" t="n">
        <v>2567.31</v>
      </c>
      <c r="C16" s="7"/>
      <c r="D16" s="8" t="n">
        <v>2.83</v>
      </c>
      <c r="E16" s="8" t="n">
        <v>2.6553</v>
      </c>
      <c r="F16" s="8" t="n">
        <v>2.27</v>
      </c>
      <c r="G16" s="9" t="n">
        <f aca="false">IF(OR(D16="",E16=""),"",D16-E16)</f>
        <v>0.1747</v>
      </c>
      <c r="H16" s="10" t="n">
        <v>251.233</v>
      </c>
      <c r="I16" s="7"/>
      <c r="J16" s="10" t="n">
        <v>3.9</v>
      </c>
      <c r="K16" s="8" t="n">
        <v>0.07</v>
      </c>
      <c r="L16" s="11" t="n">
        <v>20917.867</v>
      </c>
      <c r="M16" s="7"/>
      <c r="N16" s="12" t="n">
        <v>105.0494</v>
      </c>
      <c r="O16" s="11" t="n">
        <v>571.229</v>
      </c>
      <c r="P16" s="7" t="n">
        <f aca="false">IF(OR(O16="",L16="",L16=0),"",O16/L16)</f>
        <v>0.0273081858680907</v>
      </c>
      <c r="Q16" s="6" t="n">
        <v>14392</v>
      </c>
      <c r="R16" s="7"/>
      <c r="S16" s="8" t="n">
        <v>4.0836</v>
      </c>
      <c r="T16" s="10" t="n">
        <v>104.0936</v>
      </c>
      <c r="U16" s="7"/>
      <c r="V16" s="6" t="n">
        <v>489878</v>
      </c>
      <c r="W16" s="7"/>
      <c r="X16" s="6" t="n">
        <v>14051.6</v>
      </c>
      <c r="Y16" s="7"/>
      <c r="Z16" s="6" t="n">
        <v>15506.5</v>
      </c>
      <c r="AA16" s="7"/>
      <c r="AB16" s="10" t="n">
        <v>204.664</v>
      </c>
      <c r="AC16" s="7"/>
      <c r="AD16" s="8" t="n">
        <v>57.36</v>
      </c>
      <c r="AE16" s="8" t="n">
        <v>49.5228</v>
      </c>
      <c r="AF16" s="6" t="n">
        <v>1250</v>
      </c>
      <c r="AG16" s="7"/>
      <c r="AH16" s="10" t="n">
        <v>25.42</v>
      </c>
      <c r="AI16" s="13" t="n">
        <v>1.138</v>
      </c>
      <c r="AJ16" s="8" t="n">
        <v>3.33</v>
      </c>
    </row>
    <row r="17" customFormat="false" ht="15" hidden="false" customHeight="false" outlineLevel="0" collapsed="false">
      <c r="A17" s="5" t="n">
        <v>43466</v>
      </c>
      <c r="B17" s="6" t="n">
        <v>2607.39</v>
      </c>
      <c r="C17" s="7" t="n">
        <f aca="false">IF(OR(B17="",B5=""),"",B17/B5-1)</f>
        <v>-0.0653846153846155</v>
      </c>
      <c r="D17" s="8" t="n">
        <v>2.71</v>
      </c>
      <c r="E17" s="8" t="n">
        <v>2.5795</v>
      </c>
      <c r="F17" s="8" t="n">
        <v>2.4</v>
      </c>
      <c r="G17" s="9" t="n">
        <f aca="false">IF(OR(D17="",E17=""),"",D17-E17)</f>
        <v>0.1305</v>
      </c>
      <c r="H17" s="10" t="n">
        <v>251.712</v>
      </c>
      <c r="I17" s="7" t="n">
        <f aca="false">IF(OR(H17="",H5=""),"",H17/H5-1)</f>
        <v>0.0155123513819913</v>
      </c>
      <c r="J17" s="10" t="n">
        <v>4</v>
      </c>
      <c r="K17" s="8" t="n">
        <v>0.13</v>
      </c>
      <c r="L17" s="11" t="n">
        <v>21111.6</v>
      </c>
      <c r="M17" s="7" t="n">
        <f aca="false">IF(OR(L17="",L5=""),"",L17/L5-1)</f>
        <v>0.0385195640830904</v>
      </c>
      <c r="N17" s="12" t="n">
        <v>104.3402</v>
      </c>
      <c r="O17" s="11" t="n">
        <v>579.714</v>
      </c>
      <c r="P17" s="7" t="n">
        <f aca="false">IF(OR(O17="",L17="",L17=0),"",O17/L17)</f>
        <v>0.027459500937873</v>
      </c>
      <c r="Q17" s="6" t="n">
        <v>14460.2</v>
      </c>
      <c r="R17" s="7" t="n">
        <f aca="false">IF(OR(Q17="",Q5=""),"",Q17/Q5-1)</f>
        <v>0.0401225687651055</v>
      </c>
      <c r="S17" s="8" t="n">
        <v>4.0503</v>
      </c>
      <c r="T17" s="10" t="n">
        <v>103.4021</v>
      </c>
      <c r="U17" s="7" t="n">
        <f aca="false">IF(OR(T17="",T5=""),"",T17/T5-1)</f>
        <v>0.0191164223235185</v>
      </c>
      <c r="V17" s="6" t="n">
        <v>490789</v>
      </c>
      <c r="W17" s="7" t="n">
        <f aca="false">IF(OR(V17="",V5=""),"",V17/V5-1)</f>
        <v>0.0199484611068392</v>
      </c>
      <c r="X17" s="6" t="n">
        <v>14084.6</v>
      </c>
      <c r="Y17" s="7" t="n">
        <f aca="false">IF(OR(X17="",X5=""),"",X17/X5-1)</f>
        <v>0.0278254143162597</v>
      </c>
      <c r="Z17" s="6" t="n">
        <v>15536.3</v>
      </c>
      <c r="AA17" s="7" t="n">
        <f aca="false">IF(OR(Z17="",Z5=""),"",Z17/Z5-1)</f>
        <v>0.0436432765037011</v>
      </c>
      <c r="AB17" s="10" t="n">
        <v>204.165</v>
      </c>
      <c r="AC17" s="7" t="n">
        <f aca="false">IF(OR(AB17="",AB5=""),"",AB17/AB5-1)</f>
        <v>0.0412331701346389</v>
      </c>
      <c r="AD17" s="8" t="n">
        <v>59.41</v>
      </c>
      <c r="AE17" s="8" t="n">
        <v>51.3757</v>
      </c>
      <c r="AF17" s="6" t="n">
        <v>1292</v>
      </c>
      <c r="AG17" s="7" t="n">
        <f aca="false">IF(OR(AF17="",AF5=""),"",AF17/AF5-1)</f>
        <v>-0.0293012772351615</v>
      </c>
      <c r="AH17" s="10" t="n">
        <v>16.57</v>
      </c>
      <c r="AI17" s="13" t="n">
        <v>1.1418</v>
      </c>
      <c r="AJ17" s="8" t="n">
        <v>3.16</v>
      </c>
    </row>
    <row r="18" customFormat="false" ht="15" hidden="false" customHeight="false" outlineLevel="0" collapsed="false">
      <c r="A18" s="5" t="n">
        <v>43497</v>
      </c>
      <c r="B18" s="6" t="n">
        <v>2754.86</v>
      </c>
      <c r="C18" s="7" t="n">
        <f aca="false">IF(OR(B18="",B6=""),"",B18/B6-1)</f>
        <v>0.0183722959085599</v>
      </c>
      <c r="D18" s="8" t="n">
        <v>2.68</v>
      </c>
      <c r="E18" s="8" t="n">
        <v>2.5495</v>
      </c>
      <c r="F18" s="8" t="n">
        <v>2.4</v>
      </c>
      <c r="G18" s="9" t="n">
        <f aca="false">IF(OR(D18="",E18=""),"",D18-E18)</f>
        <v>0.1305</v>
      </c>
      <c r="H18" s="10" t="n">
        <v>252.776</v>
      </c>
      <c r="I18" s="7" t="n">
        <f aca="false">IF(OR(H18="",H6=""),"",H18/H6-1)</f>
        <v>0.0152013526593331</v>
      </c>
      <c r="J18" s="10" t="n">
        <v>3.8</v>
      </c>
      <c r="K18" s="8" t="n">
        <v>0.13</v>
      </c>
      <c r="L18" s="11" t="n">
        <v>21111.6</v>
      </c>
      <c r="M18" s="7" t="n">
        <f aca="false">IF(OR(L18="",L6=""),"",L18/L6-1)</f>
        <v>0.0385195640830904</v>
      </c>
      <c r="N18" s="12" t="n">
        <v>104.3402</v>
      </c>
      <c r="O18" s="11" t="n">
        <v>579.714</v>
      </c>
      <c r="P18" s="7" t="n">
        <f aca="false">IF(OR(O18="",L18="",L18=0),"",O18/L18)</f>
        <v>0.027459500937873</v>
      </c>
      <c r="Q18" s="6" t="n">
        <v>14506.6</v>
      </c>
      <c r="R18" s="7" t="n">
        <f aca="false">IF(OR(Q18="",Q6=""),"",Q18/Q6-1)</f>
        <v>0.0399145507462473</v>
      </c>
      <c r="S18" s="8" t="n">
        <v>4.0027</v>
      </c>
      <c r="T18" s="10" t="n">
        <v>102.8371</v>
      </c>
      <c r="U18" s="7" t="n">
        <f aca="false">IF(OR(T18="",T6=""),"",T18/T6-1)</f>
        <v>0.0110964177035351</v>
      </c>
      <c r="V18" s="6" t="n">
        <v>492328</v>
      </c>
      <c r="W18" s="7" t="n">
        <f aca="false">IF(OR(V18="",V6=""),"",V18/V6-1)</f>
        <v>0.0167381557670743</v>
      </c>
      <c r="X18" s="6" t="n">
        <v>14117.4</v>
      </c>
      <c r="Y18" s="7" t="n">
        <f aca="false">IF(OR(X18="",X6=""),"",X18/X6-1)</f>
        <v>0.027564471165394</v>
      </c>
      <c r="Z18" s="6" t="n">
        <v>15560.4</v>
      </c>
      <c r="AA18" s="7" t="n">
        <f aca="false">IF(OR(Z18="",Z6=""),"",Z18/Z6-1)</f>
        <v>0.0428453666284656</v>
      </c>
      <c r="AB18" s="10" t="n">
        <v>204.389</v>
      </c>
      <c r="AC18" s="7" t="n">
        <f aca="false">IF(OR(AB18="",AB6=""),"",AB18/AB6-1)</f>
        <v>0.0381874425385151</v>
      </c>
      <c r="AD18" s="8" t="n">
        <v>63.96</v>
      </c>
      <c r="AE18" s="8" t="n">
        <v>54.9547</v>
      </c>
      <c r="AF18" s="6" t="n">
        <v>1320</v>
      </c>
      <c r="AG18" s="7" t="n">
        <f aca="false">IF(OR(AF18="",AF6=""),"",AF18/AF6-1)</f>
        <v>-0.00826446280991733</v>
      </c>
      <c r="AH18" s="10" t="n">
        <v>14.78</v>
      </c>
      <c r="AI18" s="13" t="n">
        <v>1.1349</v>
      </c>
      <c r="AJ18" s="8" t="n">
        <v>3</v>
      </c>
    </row>
    <row r="19" customFormat="false" ht="15" hidden="false" customHeight="false" outlineLevel="0" collapsed="false">
      <c r="A19" s="5" t="n">
        <v>43525</v>
      </c>
      <c r="B19" s="6" t="n">
        <v>2803.98</v>
      </c>
      <c r="C19" s="7" t="n">
        <f aca="false">IF(OR(B19="",B7=""),"",B19/B7-1)</f>
        <v>0.0374467675754875</v>
      </c>
      <c r="D19" s="8" t="n">
        <v>2.57</v>
      </c>
      <c r="E19" s="8" t="n">
        <v>2.491</v>
      </c>
      <c r="F19" s="8" t="n">
        <v>2.41</v>
      </c>
      <c r="G19" s="9" t="n">
        <f aca="false">IF(OR(D19="",E19=""),"",D19-E19)</f>
        <v>0.0789999999999997</v>
      </c>
      <c r="H19" s="10" t="n">
        <v>254.202</v>
      </c>
      <c r="I19" s="7" t="n">
        <f aca="false">IF(OR(H19="",H7=""),"",H19/H7-1)</f>
        <v>0.0186252274056917</v>
      </c>
      <c r="J19" s="10" t="n">
        <v>3.8</v>
      </c>
      <c r="K19" s="8" t="n">
        <v>0.1</v>
      </c>
      <c r="L19" s="11" t="n">
        <v>21111.6</v>
      </c>
      <c r="M19" s="7" t="n">
        <f aca="false">IF(OR(L19="",L7=""),"",L19/L7-1)</f>
        <v>0.0385195640830904</v>
      </c>
      <c r="N19" s="12" t="n">
        <v>104.3402</v>
      </c>
      <c r="O19" s="11" t="n">
        <v>579.714</v>
      </c>
      <c r="P19" s="7" t="n">
        <f aca="false">IF(OR(O19="",L19="",L19=0),"",O19/L19)</f>
        <v>0.027459500937873</v>
      </c>
      <c r="Q19" s="6" t="n">
        <v>14559.5</v>
      </c>
      <c r="R19" s="7" t="n">
        <f aca="false">IF(OR(Q19="",Q7=""),"",Q19/Q7-1)</f>
        <v>0.0388882942666524</v>
      </c>
      <c r="S19" s="8" t="n">
        <v>3.9648</v>
      </c>
      <c r="T19" s="10" t="n">
        <v>102.8757</v>
      </c>
      <c r="U19" s="7" t="n">
        <f aca="false">IF(OR(T19="",T7=""),"",T19/T7-1)</f>
        <v>0.00654555914631816</v>
      </c>
      <c r="V19" s="6" t="n">
        <v>499614</v>
      </c>
      <c r="W19" s="7" t="n">
        <f aca="false">IF(OR(V19="",V7=""),"",V19/V7-1)</f>
        <v>0.0313078623667811</v>
      </c>
      <c r="X19" s="6" t="n">
        <v>14248.6</v>
      </c>
      <c r="Y19" s="7" t="n">
        <f aca="false">IF(OR(X19="",X7=""),"",X19/X7-1)</f>
        <v>0.0330162688861178</v>
      </c>
      <c r="Z19" s="6" t="n">
        <v>15566.5</v>
      </c>
      <c r="AA19" s="7" t="n">
        <f aca="false">IF(OR(Z19="",Z7=""),"",Z19/Z7-1)</f>
        <v>0.0395130485882951</v>
      </c>
      <c r="AB19" s="10" t="n">
        <v>205.735</v>
      </c>
      <c r="AC19" s="7" t="n">
        <f aca="false">IF(OR(AB19="",AB7=""),"",AB19/AB7-1)</f>
        <v>0.0362552068380202</v>
      </c>
      <c r="AD19" s="8" t="n">
        <v>66.14</v>
      </c>
      <c r="AE19" s="8" t="n">
        <v>58.1514</v>
      </c>
      <c r="AF19" s="6" t="n">
        <v>1301</v>
      </c>
      <c r="AG19" s="7" t="n">
        <f aca="false">IF(OR(AF19="",AF7=""),"",AF19/AF7-1)</f>
        <v>-0.0181132075471698</v>
      </c>
      <c r="AH19" s="10" t="n">
        <v>13.71</v>
      </c>
      <c r="AI19" s="13" t="n">
        <v>1.1296</v>
      </c>
      <c r="AJ19" s="8" t="n">
        <v>2.84</v>
      </c>
    </row>
    <row r="20" customFormat="false" ht="15" hidden="false" customHeight="false" outlineLevel="0" collapsed="false">
      <c r="A20" s="5" t="n">
        <v>43556</v>
      </c>
      <c r="B20" s="6" t="n">
        <v>2903.8</v>
      </c>
      <c r="C20" s="7" t="n">
        <f aca="false">IF(OR(B20="",B8=""),"",B20/B8-1)</f>
        <v>0.0942746351224548</v>
      </c>
      <c r="D20" s="8" t="n">
        <v>2.53</v>
      </c>
      <c r="E20" s="8" t="n">
        <v>2.4248</v>
      </c>
      <c r="F20" s="8" t="n">
        <v>2.42</v>
      </c>
      <c r="G20" s="9" t="n">
        <f aca="false">IF(OR(D20="",E20=""),"",D20-E20)</f>
        <v>0.1052</v>
      </c>
      <c r="H20" s="10" t="n">
        <v>255.548</v>
      </c>
      <c r="I20" s="7" t="n">
        <f aca="false">IF(OR(H20="",H8=""),"",H20/H8-1)</f>
        <v>0.0199643977553026</v>
      </c>
      <c r="J20" s="10" t="n">
        <v>3.7</v>
      </c>
      <c r="K20" s="8" t="n">
        <v>0</v>
      </c>
      <c r="L20" s="11" t="n">
        <v>21397.938</v>
      </c>
      <c r="M20" s="7" t="n">
        <f aca="false">IF(OR(L20="",L8=""),"",L20/L8-1)</f>
        <v>0.039698240777668</v>
      </c>
      <c r="N20" s="12" t="n">
        <v>102.9224</v>
      </c>
      <c r="O20" s="11" t="n">
        <v>586.409</v>
      </c>
      <c r="P20" s="7" t="n">
        <f aca="false">IF(OR(O20="",L20="",L20=0),"",O20/L20)</f>
        <v>0.0274049303255295</v>
      </c>
      <c r="Q20" s="6" t="n">
        <v>14594</v>
      </c>
      <c r="R20" s="7" t="n">
        <f aca="false">IF(OR(Q20="",Q8=""),"",Q20/Q8-1)</f>
        <v>0.0398438167982445</v>
      </c>
      <c r="S20" s="8" t="n">
        <v>3.9331</v>
      </c>
      <c r="T20" s="10" t="n">
        <v>102.274</v>
      </c>
      <c r="U20" s="7" t="n">
        <f aca="false">IF(OR(T20="",T8=""),"",T20/T8-1)</f>
        <v>-0.0102474623280677</v>
      </c>
      <c r="V20" s="6" t="n">
        <v>499609</v>
      </c>
      <c r="W20" s="7" t="n">
        <f aca="false">IF(OR(V20="",V8=""),"",V20/V8-1)</f>
        <v>0.0317128272056697</v>
      </c>
      <c r="X20" s="6" t="n">
        <v>14290</v>
      </c>
      <c r="Y20" s="7" t="n">
        <f aca="false">IF(OR(X20="",X8=""),"",X20/X8-1)</f>
        <v>0.032633830500636</v>
      </c>
      <c r="Z20" s="6" t="n">
        <v>15534.2</v>
      </c>
      <c r="AA20" s="7" t="n">
        <f aca="false">IF(OR(Z20="",Z8=""),"",Z20/Z8-1)</f>
        <v>0.0351164774241697</v>
      </c>
      <c r="AB20" s="10" t="n">
        <v>207.649</v>
      </c>
      <c r="AC20" s="7" t="n">
        <f aca="false">IF(OR(AB20="",AB8=""),"",AB20/AB8-1)</f>
        <v>0.0352634412890875</v>
      </c>
      <c r="AD20" s="8" t="n">
        <v>71.23</v>
      </c>
      <c r="AE20" s="8" t="n">
        <v>63.8624</v>
      </c>
      <c r="AF20" s="6" t="n">
        <v>1286</v>
      </c>
      <c r="AG20" s="7" t="n">
        <f aca="false">IF(OR(AF20="",AF8=""),"",AF20/AF8-1)</f>
        <v>-0.0367041198501873</v>
      </c>
      <c r="AH20" s="10" t="n">
        <v>13.12</v>
      </c>
      <c r="AI20" s="13" t="n">
        <v>1.1234</v>
      </c>
      <c r="AJ20" s="8" t="n">
        <v>2.77</v>
      </c>
    </row>
    <row r="21" customFormat="false" ht="15" hidden="false" customHeight="false" outlineLevel="0" collapsed="false">
      <c r="A21" s="5" t="n">
        <v>43586</v>
      </c>
      <c r="B21" s="6" t="n">
        <v>2854.71</v>
      </c>
      <c r="C21" s="7" t="n">
        <f aca="false">IF(OR(B21="",B9=""),"",B21/B9-1)</f>
        <v>0.0567168488500791</v>
      </c>
      <c r="D21" s="8" t="n">
        <v>2.4</v>
      </c>
      <c r="E21" s="8" t="n">
        <v>2.3405</v>
      </c>
      <c r="F21" s="8" t="n">
        <v>2.39</v>
      </c>
      <c r="G21" s="9" t="n">
        <f aca="false">IF(OR(D21="",E21=""),"",D21-E21)</f>
        <v>0.0594999999999999</v>
      </c>
      <c r="H21" s="10" t="n">
        <v>256.092</v>
      </c>
      <c r="I21" s="7" t="n">
        <f aca="false">IF(OR(H21="",H9=""),"",H21/H9-1)</f>
        <v>0.017902284687664</v>
      </c>
      <c r="J21" s="10" t="n">
        <v>3.6</v>
      </c>
      <c r="K21" s="8" t="n">
        <v>-0.07</v>
      </c>
      <c r="L21" s="11" t="n">
        <v>21397.938</v>
      </c>
      <c r="M21" s="7" t="n">
        <f aca="false">IF(OR(L21="",L9=""),"",L21/L9-1)</f>
        <v>0.039698240777668</v>
      </c>
      <c r="N21" s="12" t="n">
        <v>102.9224</v>
      </c>
      <c r="O21" s="11" t="n">
        <v>586.409</v>
      </c>
      <c r="P21" s="7" t="n">
        <f aca="false">IF(OR(O21="",L21="",L21=0),"",O21/L21)</f>
        <v>0.0274049303255295</v>
      </c>
      <c r="Q21" s="6" t="n">
        <v>14703.2</v>
      </c>
      <c r="R21" s="7" t="n">
        <f aca="false">IF(OR(Q21="",Q9=""),"",Q21/Q9-1)</f>
        <v>0.0434461713150238</v>
      </c>
      <c r="S21" s="8" t="n">
        <v>3.8717</v>
      </c>
      <c r="T21" s="10" t="n">
        <v>102.392</v>
      </c>
      <c r="U21" s="7" t="n">
        <f aca="false">IF(OR(T21="",T9=""),"",T21/T9-1)</f>
        <v>-0.000101560119684763</v>
      </c>
      <c r="V21" s="6" t="n">
        <v>505356</v>
      </c>
      <c r="W21" s="7" t="n">
        <f aca="false">IF(OR(V21="",V9=""),"",V21/V9-1)</f>
        <v>0.0267247999804958</v>
      </c>
      <c r="X21" s="6" t="n">
        <v>14353.3</v>
      </c>
      <c r="Y21" s="7" t="n">
        <f aca="false">IF(OR(X21="",X9=""),"",X21/X9-1)</f>
        <v>0.0322402013664149</v>
      </c>
      <c r="Z21" s="6" t="n">
        <v>15532.4</v>
      </c>
      <c r="AA21" s="7" t="n">
        <f aca="false">IF(OR(Z21="",Z9=""),"",Z21/Z9-1)</f>
        <v>0.0315185485263452</v>
      </c>
      <c r="AB21" s="10" t="n">
        <v>209.312</v>
      </c>
      <c r="AC21" s="7" t="n">
        <f aca="false">IF(OR(AB21="",AB9=""),"",AB21/AB9-1)</f>
        <v>0.0340837792039048</v>
      </c>
      <c r="AD21" s="8" t="n">
        <v>71.32</v>
      </c>
      <c r="AE21" s="8" t="n">
        <v>60.8268</v>
      </c>
      <c r="AF21" s="6" t="n">
        <v>1284</v>
      </c>
      <c r="AG21" s="7" t="n">
        <f aca="false">IF(OR(AF21="",AF9=""),"",AF21/AF9-1)</f>
        <v>-0.014581734458941</v>
      </c>
      <c r="AH21" s="10" t="n">
        <v>18.71</v>
      </c>
      <c r="AI21" s="13" t="n">
        <v>1.1187</v>
      </c>
      <c r="AJ21" s="8" t="n">
        <v>2.68</v>
      </c>
    </row>
    <row r="22" customFormat="false" ht="15" hidden="false" customHeight="false" outlineLevel="0" collapsed="false">
      <c r="A22" s="5" t="n">
        <v>43617</v>
      </c>
      <c r="B22" s="6" t="n">
        <v>2890.17</v>
      </c>
      <c r="C22" s="7" t="n">
        <f aca="false">IF(OR(B22="",B10=""),"",B22/B10-1)</f>
        <v>0.0493110897307896</v>
      </c>
      <c r="D22" s="8" t="n">
        <v>2.07</v>
      </c>
      <c r="E22" s="8" t="n">
        <v>1.995</v>
      </c>
      <c r="F22" s="8" t="n">
        <v>2.38</v>
      </c>
      <c r="G22" s="9" t="n">
        <f aca="false">IF(OR(D22="",E22=""),"",D22-E22)</f>
        <v>0.0749999999999997</v>
      </c>
      <c r="H22" s="10" t="n">
        <v>256.143</v>
      </c>
      <c r="I22" s="7" t="n">
        <f aca="false">IF(OR(H22="",H10=""),"",H22/H10-1)</f>
        <v>0.0164848465607625</v>
      </c>
      <c r="J22" s="10" t="n">
        <v>3.6</v>
      </c>
      <c r="K22" s="8" t="n">
        <v>-0.07</v>
      </c>
      <c r="L22" s="11" t="n">
        <v>21397.938</v>
      </c>
      <c r="M22" s="7" t="n">
        <f aca="false">IF(OR(L22="",L10=""),"",L22/L10-1)</f>
        <v>0.039698240777668</v>
      </c>
      <c r="N22" s="12" t="n">
        <v>102.9224</v>
      </c>
      <c r="O22" s="11" t="n">
        <v>586.409</v>
      </c>
      <c r="P22" s="7" t="n">
        <f aca="false">IF(OR(O22="",L22="",L22=0),"",O22/L22)</f>
        <v>0.0274049303255295</v>
      </c>
      <c r="Q22" s="6" t="n">
        <v>14798.8</v>
      </c>
      <c r="R22" s="7" t="n">
        <f aca="false">IF(OR(Q22="",Q10=""),"",Q22/Q10-1)</f>
        <v>0.0470947839130558</v>
      </c>
      <c r="S22" s="8" t="n">
        <v>3.8421</v>
      </c>
      <c r="T22" s="10" t="n">
        <v>102.4375</v>
      </c>
      <c r="U22" s="7" t="n">
        <f aca="false">IF(OR(T22="",T10=""),"",T22/T10-1)</f>
        <v>-0.00736932886296238</v>
      </c>
      <c r="V22" s="6" t="n">
        <v>505681</v>
      </c>
      <c r="W22" s="7" t="n">
        <f aca="false">IF(OR(V22="",V10=""),"",V22/V10-1)</f>
        <v>0.0310173140755361</v>
      </c>
      <c r="X22" s="6" t="n">
        <v>14408.7</v>
      </c>
      <c r="Y22" s="7" t="n">
        <f aca="false">IF(OR(X22="",X10=""),"",X22/X10-1)</f>
        <v>0.0343349796129329</v>
      </c>
      <c r="Z22" s="6" t="n">
        <v>15562.1</v>
      </c>
      <c r="AA22" s="7" t="n">
        <f aca="false">IF(OR(Z22="",Z10=""),"",Z22/Z10-1)</f>
        <v>0.0292870701685926</v>
      </c>
      <c r="AB22" s="10" t="n">
        <v>210.548</v>
      </c>
      <c r="AC22" s="7" t="n">
        <f aca="false">IF(OR(AB22="",AB10=""),"",AB22/AB10-1)</f>
        <v>0.0320727433151149</v>
      </c>
      <c r="AD22" s="8" t="n">
        <v>64.22</v>
      </c>
      <c r="AE22" s="8" t="n">
        <v>54.6575</v>
      </c>
      <c r="AF22" s="6" t="n">
        <v>1359</v>
      </c>
      <c r="AG22" s="7" t="n">
        <f aca="false">IF(OR(AF22="",AF10=""),"",AF22/AF10-1)</f>
        <v>0.0600624024960998</v>
      </c>
      <c r="AH22" s="10" t="n">
        <v>15.08</v>
      </c>
      <c r="AI22" s="13" t="n">
        <v>1.1295</v>
      </c>
      <c r="AJ22" s="8" t="n">
        <v>2.36</v>
      </c>
    </row>
    <row r="23" customFormat="false" ht="15" hidden="false" customHeight="false" outlineLevel="0" collapsed="false">
      <c r="A23" s="5" t="n">
        <v>43647</v>
      </c>
      <c r="B23" s="6" t="n">
        <v>2996.1136</v>
      </c>
      <c r="C23" s="7" t="n">
        <f aca="false">IF(OR(B23="",B11=""),"",B23/B11-1)</f>
        <v>0.0724766254778713</v>
      </c>
      <c r="D23" s="8" t="n">
        <v>2.06</v>
      </c>
      <c r="E23" s="8" t="n">
        <v>1.9623</v>
      </c>
      <c r="F23" s="8" t="n">
        <v>2.4</v>
      </c>
      <c r="G23" s="9" t="n">
        <f aca="false">IF(OR(D23="",E23=""),"",D23-E23)</f>
        <v>0.0977000000000001</v>
      </c>
      <c r="H23" s="10" t="n">
        <v>256.571</v>
      </c>
      <c r="I23" s="7" t="n">
        <f aca="false">IF(OR(H23="",H11=""),"",H23/H11-1)</f>
        <v>0.0181146480639351</v>
      </c>
      <c r="J23" s="10" t="n">
        <v>3.7</v>
      </c>
      <c r="K23" s="8" t="n">
        <v>0</v>
      </c>
      <c r="L23" s="11" t="n">
        <v>21717.171</v>
      </c>
      <c r="M23" s="7" t="n">
        <f aca="false">IF(OR(L23="",L11=""),"",L23/L11-1)</f>
        <v>0.0441585135246239</v>
      </c>
      <c r="N23" s="12" t="n">
        <v>104.6149</v>
      </c>
      <c r="O23" s="11" t="n">
        <v>578.256</v>
      </c>
      <c r="P23" s="7" t="n">
        <f aca="false">IF(OR(O23="",L23="",L23=0),"",O23/L23)</f>
        <v>0.0266266725072064</v>
      </c>
      <c r="Q23" s="6" t="n">
        <v>14882.7</v>
      </c>
      <c r="R23" s="7" t="n">
        <f aca="false">IF(OR(Q23="",Q11=""),"",Q23/Q11-1)</f>
        <v>0.0502964008468596</v>
      </c>
      <c r="S23" s="8" t="n">
        <v>3.8038</v>
      </c>
      <c r="T23" s="10" t="n">
        <v>101.9408</v>
      </c>
      <c r="U23" s="7" t="n">
        <f aca="false">IF(OR(T23="",T11=""),"",T23/T11-1)</f>
        <v>-0.0137745417676844</v>
      </c>
      <c r="V23" s="6" t="n">
        <v>509389</v>
      </c>
      <c r="W23" s="7" t="n">
        <f aca="false">IF(OR(V23="",V11=""),"",V23/V11-1)</f>
        <v>0.0324434211219704</v>
      </c>
      <c r="X23" s="6" t="n">
        <v>14496</v>
      </c>
      <c r="Y23" s="7" t="n">
        <f aca="false">IF(OR(X23="",X11=""),"",X23/X11-1)</f>
        <v>0.0372957036952228</v>
      </c>
      <c r="Z23" s="6" t="n">
        <v>15581.4</v>
      </c>
      <c r="AA23" s="7" t="n">
        <f aca="false">IF(OR(Z23="",Z11=""),"",Z23/Z11-1)</f>
        <v>0.0261249810664681</v>
      </c>
      <c r="AB23" s="10" t="n">
        <v>211.298</v>
      </c>
      <c r="AC23" s="7" t="n">
        <f aca="false">IF(OR(AB23="",AB11=""),"",AB23/AB11-1)</f>
        <v>0.031154533121212</v>
      </c>
      <c r="AD23" s="8" t="n">
        <v>63.92</v>
      </c>
      <c r="AE23" s="8" t="n">
        <v>57.3581</v>
      </c>
      <c r="AF23" s="6" t="n">
        <v>1413</v>
      </c>
      <c r="AG23" s="7" t="n">
        <f aca="false">IF(OR(AF23="",AF11=""),"",AF23/AF11-1)</f>
        <v>0.141357027463651</v>
      </c>
      <c r="AH23" s="10" t="n">
        <v>16.12</v>
      </c>
      <c r="AI23" s="13" t="n">
        <v>1.1211</v>
      </c>
      <c r="AJ23" s="8" t="n">
        <v>2.31</v>
      </c>
    </row>
    <row r="24" customFormat="false" ht="15" hidden="false" customHeight="false" outlineLevel="0" collapsed="false">
      <c r="A24" s="5" t="n">
        <v>43678</v>
      </c>
      <c r="B24" s="6" t="n">
        <v>2897.4982</v>
      </c>
      <c r="C24" s="7" t="n">
        <f aca="false">IF(OR(B24="",B12=""),"",B24/B12-1)</f>
        <v>0.0138840794731647</v>
      </c>
      <c r="D24" s="8" t="n">
        <v>1.63</v>
      </c>
      <c r="E24" s="8" t="n">
        <v>1.7723</v>
      </c>
      <c r="F24" s="8" t="n">
        <v>2.13</v>
      </c>
      <c r="G24" s="9" t="n">
        <f aca="false">IF(OR(D24="",E24=""),"",D24-E24)</f>
        <v>-0.1423</v>
      </c>
      <c r="H24" s="10" t="n">
        <v>256.558</v>
      </c>
      <c r="I24" s="7" t="n">
        <f aca="false">IF(OR(H24="",H12=""),"",H24/H12-1)</f>
        <v>0.0174977988942915</v>
      </c>
      <c r="J24" s="10" t="n">
        <v>3.6</v>
      </c>
      <c r="K24" s="8" t="n">
        <v>0</v>
      </c>
      <c r="L24" s="11" t="n">
        <v>21717.171</v>
      </c>
      <c r="M24" s="7" t="n">
        <f aca="false">IF(OR(L24="",L12=""),"",L24/L12-1)</f>
        <v>0.0441585135246239</v>
      </c>
      <c r="N24" s="12" t="n">
        <v>104.6149</v>
      </c>
      <c r="O24" s="11" t="n">
        <v>578.256</v>
      </c>
      <c r="P24" s="7" t="n">
        <f aca="false">IF(OR(O24="",L24="",L24=0),"",O24/L24)</f>
        <v>0.0266266725072064</v>
      </c>
      <c r="Q24" s="6" t="n">
        <v>14974.4</v>
      </c>
      <c r="R24" s="7" t="n">
        <f aca="false">IF(OR(Q24="",Q12=""),"",Q24/Q12-1)</f>
        <v>0.052955777601204</v>
      </c>
      <c r="S24" s="8" t="n">
        <v>3.7731</v>
      </c>
      <c r="T24" s="10" t="n">
        <v>102.639</v>
      </c>
      <c r="U24" s="7" t="n">
        <f aca="false">IF(OR(T24="",T12=""),"",T24/T12-1)</f>
        <v>-0.0133967492913287</v>
      </c>
      <c r="V24" s="6" t="n">
        <v>513222</v>
      </c>
      <c r="W24" s="7" t="n">
        <f aca="false">IF(OR(V24="",V12=""),"",V24/V12-1)</f>
        <v>0.0394222259127466</v>
      </c>
      <c r="X24" s="6" t="n">
        <v>14558.2</v>
      </c>
      <c r="Y24" s="7" t="n">
        <f aca="false">IF(OR(X24="",X12=""),"",X24/X12-1)</f>
        <v>0.0388325959754532</v>
      </c>
      <c r="Z24" s="6" t="n">
        <v>15664.3</v>
      </c>
      <c r="AA24" s="7" t="n">
        <f aca="false">IF(OR(Z24="",Z12=""),"",Z24/Z12-1)</f>
        <v>0.0279356371320199</v>
      </c>
      <c r="AB24" s="10" t="n">
        <v>211.656</v>
      </c>
      <c r="AC24" s="7" t="n">
        <f aca="false">IF(OR(AB24="",AB12=""),"",AB24/AB12-1)</f>
        <v>0.0309997467022582</v>
      </c>
      <c r="AD24" s="8" t="n">
        <v>59.04</v>
      </c>
      <c r="AE24" s="8" t="n">
        <v>54.8059</v>
      </c>
      <c r="AF24" s="6" t="n">
        <v>1500</v>
      </c>
      <c r="AG24" s="7" t="n">
        <f aca="false">IF(OR(AF24="",AF12=""),"",AF24/AF12-1)</f>
        <v>0.247920133111481</v>
      </c>
      <c r="AH24" s="10" t="n">
        <v>18.98</v>
      </c>
      <c r="AI24" s="13" t="n">
        <v>1.1129</v>
      </c>
      <c r="AJ24" s="8" t="n">
        <v>2.08</v>
      </c>
    </row>
    <row r="25" customFormat="false" ht="15" hidden="false" customHeight="false" outlineLevel="0" collapsed="false">
      <c r="A25" s="5" t="n">
        <v>43709</v>
      </c>
      <c r="B25" s="6" t="n">
        <v>2982.156</v>
      </c>
      <c r="C25" s="7" t="n">
        <f aca="false">IF(OR(B25="",B13=""),"",B25/B13-1)</f>
        <v>0.0277980354988798</v>
      </c>
      <c r="D25" s="8" t="n">
        <v>1.7</v>
      </c>
      <c r="E25" s="8" t="n">
        <v>1.796</v>
      </c>
      <c r="F25" s="8" t="n">
        <v>2.04</v>
      </c>
      <c r="G25" s="9" t="n">
        <f aca="false">IF(OR(D25="",E25=""),"",D25-E25)</f>
        <v>-0.0960000000000001</v>
      </c>
      <c r="H25" s="10" t="n">
        <v>256.759</v>
      </c>
      <c r="I25" s="7" t="n">
        <f aca="false">IF(OR(H25="",H13=""),"",H25/H13-1)</f>
        <v>0.0171130451316952</v>
      </c>
      <c r="J25" s="10" t="n">
        <v>3.5</v>
      </c>
      <c r="K25" s="8" t="n">
        <v>-0.03</v>
      </c>
      <c r="L25" s="11" t="n">
        <v>21717.171</v>
      </c>
      <c r="M25" s="7" t="n">
        <f aca="false">IF(OR(L25="",L13=""),"",L25/L13-1)</f>
        <v>0.0441585135246239</v>
      </c>
      <c r="N25" s="12" t="n">
        <v>104.6149</v>
      </c>
      <c r="O25" s="11" t="n">
        <v>578.256</v>
      </c>
      <c r="P25" s="7" t="n">
        <f aca="false">IF(OR(O25="",L25="",L25=0),"",O25/L25)</f>
        <v>0.0266266725072064</v>
      </c>
      <c r="Q25" s="6" t="n">
        <v>15047.2</v>
      </c>
      <c r="R25" s="7" t="n">
        <f aca="false">IF(OR(Q25="",Q13=""),"",Q25/Q13-1)</f>
        <v>0.0563960713006972</v>
      </c>
      <c r="S25" s="8" t="n">
        <v>3.8084</v>
      </c>
      <c r="T25" s="10" t="n">
        <v>102.2917</v>
      </c>
      <c r="U25" s="7" t="n">
        <f aca="false">IF(OR(T25="",T13=""),"",T25/T13-1)</f>
        <v>-0.0173745730083649</v>
      </c>
      <c r="V25" s="6" t="n">
        <v>509503</v>
      </c>
      <c r="W25" s="7" t="n">
        <f aca="false">IF(OR(V25="",V13=""),"",V25/V13-1)</f>
        <v>0.0361143196459948</v>
      </c>
      <c r="X25" s="6" t="n">
        <v>14590.6</v>
      </c>
      <c r="Y25" s="7" t="n">
        <f aca="false">IF(OR(X25="",X13=""),"",X25/X13-1)</f>
        <v>0.04086233217766</v>
      </c>
      <c r="Z25" s="6" t="n">
        <v>15697.5</v>
      </c>
      <c r="AA25" s="7" t="n">
        <f aca="false">IF(OR(Z25="",Z13=""),"",Z25/Z13-1)</f>
        <v>0.030188679245283</v>
      </c>
      <c r="AB25" s="10" t="n">
        <v>211.834</v>
      </c>
      <c r="AC25" s="7" t="n">
        <f aca="false">IF(OR(AB25="",AB13=""),"",AB25/AB13-1)</f>
        <v>0.0316306205835228</v>
      </c>
      <c r="AD25" s="8" t="n">
        <v>62.83</v>
      </c>
      <c r="AE25" s="8" t="n">
        <v>56.947</v>
      </c>
      <c r="AF25" s="6" t="n">
        <v>1511</v>
      </c>
      <c r="AG25" s="7" t="n">
        <f aca="false">IF(OR(AF25="",AF13=""),"",AF25/AF13-1)</f>
        <v>0.26126878130217</v>
      </c>
      <c r="AH25" s="10" t="n">
        <v>16.24</v>
      </c>
      <c r="AI25" s="13" t="n">
        <v>1.1011</v>
      </c>
      <c r="AJ25" s="8" t="n">
        <v>2.11</v>
      </c>
    </row>
    <row r="26" customFormat="false" ht="15" hidden="false" customHeight="false" outlineLevel="0" collapsed="false">
      <c r="A26" s="5" t="n">
        <v>43739</v>
      </c>
      <c r="B26" s="6" t="n">
        <v>2977.68</v>
      </c>
      <c r="C26" s="7" t="n">
        <f aca="false">IF(OR(B26="",B14=""),"",B26/B14-1)</f>
        <v>0.069008350505841</v>
      </c>
      <c r="D26" s="8" t="n">
        <v>1.71</v>
      </c>
      <c r="E26" s="8" t="n">
        <v>1.6082</v>
      </c>
      <c r="F26" s="8" t="n">
        <v>1.83</v>
      </c>
      <c r="G26" s="9" t="n">
        <f aca="false">IF(OR(D26="",E26=""),"",D26-E26)</f>
        <v>0.1018</v>
      </c>
      <c r="H26" s="10" t="n">
        <v>257.346</v>
      </c>
      <c r="I26" s="7" t="n">
        <f aca="false">IF(OR(H26="",H14=""),"",H26/H14-1)</f>
        <v>0.0176404294442138</v>
      </c>
      <c r="J26" s="10" t="n">
        <v>3.6</v>
      </c>
      <c r="K26" s="8" t="n">
        <v>-0.03</v>
      </c>
      <c r="L26" s="11" t="n">
        <v>21933.217</v>
      </c>
      <c r="M26" s="7" t="n">
        <f aca="false">IF(OR(L26="",L14=""),"",L26/L14-1)</f>
        <v>0.0485398439525409</v>
      </c>
      <c r="N26" s="12" t="n">
        <v>105.7819</v>
      </c>
      <c r="O26" s="11" t="n">
        <v>564.241</v>
      </c>
      <c r="P26" s="7" t="n">
        <f aca="false">IF(OR(O26="",L26="",L26=0),"",O26/L26)</f>
        <v>0.0257254100025546</v>
      </c>
      <c r="Q26" s="6" t="n">
        <v>15185.6</v>
      </c>
      <c r="R26" s="7" t="n">
        <f aca="false">IF(OR(Q26="",Q14=""),"",Q26/Q14-1)</f>
        <v>0.0650880933677478</v>
      </c>
      <c r="S26" s="8" t="n">
        <v>3.9702</v>
      </c>
      <c r="T26" s="10" t="n">
        <v>101.4281</v>
      </c>
      <c r="U26" s="7" t="n">
        <f aca="false">IF(OR(T26="",T14=""),"",T26/T14-1)</f>
        <v>-0.0245947515809882</v>
      </c>
      <c r="V26" s="6" t="n">
        <v>510902</v>
      </c>
      <c r="W26" s="7" t="n">
        <f aca="false">IF(OR(V26="",V14=""),"",V26/V14-1)</f>
        <v>0.0288661371655041</v>
      </c>
      <c r="X26" s="6" t="n">
        <v>14617.4</v>
      </c>
      <c r="Y26" s="7" t="n">
        <f aca="false">IF(OR(X26="",X14=""),"",X26/X14-1)</f>
        <v>0.0379390901151024</v>
      </c>
      <c r="Z26" s="6" t="n">
        <v>15718.1</v>
      </c>
      <c r="AA26" s="7" t="n">
        <f aca="false">IF(OR(Z26="",Z14=""),"",Z26/Z14-1)</f>
        <v>0.0290688158385763</v>
      </c>
      <c r="AB26" s="10" t="n">
        <v>211.926</v>
      </c>
      <c r="AC26" s="7" t="n">
        <f aca="false">IF(OR(AB26="",AB14=""),"",AB26/AB14-1)</f>
        <v>0.0320937390423499</v>
      </c>
      <c r="AD26" s="8" t="n">
        <v>59.71</v>
      </c>
      <c r="AE26" s="8" t="n">
        <v>53.963</v>
      </c>
      <c r="AF26" s="6" t="n">
        <v>1495</v>
      </c>
      <c r="AG26" s="7" t="n">
        <f aca="false">IF(OR(AF26="",AF14=""),"",AF26/AF14-1)</f>
        <v>0.230452674897119</v>
      </c>
      <c r="AH26" s="10" t="n">
        <v>13.22</v>
      </c>
      <c r="AI26" s="13" t="n">
        <v>1.1058</v>
      </c>
      <c r="AJ26" s="8" t="n">
        <v>1.97</v>
      </c>
    </row>
    <row r="27" customFormat="false" ht="15" hidden="false" customHeight="false" outlineLevel="0" collapsed="false">
      <c r="A27" s="5" t="n">
        <v>43770</v>
      </c>
      <c r="B27" s="6" t="n">
        <v>3104.9045</v>
      </c>
      <c r="C27" s="7" t="n">
        <f aca="false">IF(OR(B27="",B15=""),"",B27/B15-1)</f>
        <v>0.140155073203512</v>
      </c>
      <c r="D27" s="8" t="n">
        <v>1.81</v>
      </c>
      <c r="E27" s="8" t="n">
        <v>1.5679</v>
      </c>
      <c r="F27" s="8" t="n">
        <v>1.55</v>
      </c>
      <c r="G27" s="9" t="n">
        <f aca="false">IF(OR(D27="",E27=""),"",D27-E27)</f>
        <v>0.2421</v>
      </c>
      <c r="H27" s="10" t="n">
        <v>257.208</v>
      </c>
      <c r="I27" s="7" t="n">
        <f aca="false">IF(OR(H27="",H15=""),"",H27/H15-1)</f>
        <v>0.0205127798189162</v>
      </c>
      <c r="J27" s="10" t="n">
        <v>3.6</v>
      </c>
      <c r="K27" s="8" t="n">
        <v>0</v>
      </c>
      <c r="L27" s="11" t="n">
        <v>21933.217</v>
      </c>
      <c r="M27" s="7" t="n">
        <f aca="false">IF(OR(L27="",L15=""),"",L27/L15-1)</f>
        <v>0.0485398439525409</v>
      </c>
      <c r="N27" s="12" t="n">
        <v>105.7819</v>
      </c>
      <c r="O27" s="11" t="n">
        <v>564.241</v>
      </c>
      <c r="P27" s="7" t="n">
        <f aca="false">IF(OR(O27="",L27="",L27=0),"",O27/L27)</f>
        <v>0.0257254100025546</v>
      </c>
      <c r="Q27" s="6" t="n">
        <v>15301.3</v>
      </c>
      <c r="R27" s="7" t="n">
        <f aca="false">IF(OR(Q27="",Q15=""),"",Q27/Q15-1)</f>
        <v>0.0708896727415245</v>
      </c>
      <c r="S27" s="8" t="n">
        <v>4.0426</v>
      </c>
      <c r="T27" s="10" t="n">
        <v>101.9372</v>
      </c>
      <c r="U27" s="7" t="n">
        <f aca="false">IF(OR(T27="",T15=""),"",T27/T15-1)</f>
        <v>-0.0204760152246462</v>
      </c>
      <c r="V27" s="6" t="n">
        <v>514649</v>
      </c>
      <c r="W27" s="7" t="n">
        <f aca="false">IF(OR(V27="",V15=""),"",V27/V15-1)</f>
        <v>0.0304294114938202</v>
      </c>
      <c r="X27" s="6" t="n">
        <v>14711</v>
      </c>
      <c r="Y27" s="7" t="n">
        <f aca="false">IF(OR(X27="",X15=""),"",X27/X15-1)</f>
        <v>0.0386997013323542</v>
      </c>
      <c r="Z27" s="6" t="n">
        <v>15766.9</v>
      </c>
      <c r="AA27" s="7" t="n">
        <f aca="false">IF(OR(Z27="",Z15=""),"",Z27/Z15-1)</f>
        <v>0.029493575010447</v>
      </c>
      <c r="AB27" s="10" t="n">
        <v>212.063</v>
      </c>
      <c r="AC27" s="7" t="n">
        <f aca="false">IF(OR(AB27="",AB15=""),"",AB27/AB15-1)</f>
        <v>0.0340753382908692</v>
      </c>
      <c r="AD27" s="8" t="n">
        <v>63.21</v>
      </c>
      <c r="AE27" s="8" t="n">
        <v>57.0489</v>
      </c>
      <c r="AF27" s="6" t="n">
        <v>1471</v>
      </c>
      <c r="AG27" s="7" t="n">
        <f aca="false">IF(OR(AF27="",AF15=""),"",AF27/AF15-1)</f>
        <v>0.204750204750205</v>
      </c>
      <c r="AH27" s="10" t="n">
        <v>12.62</v>
      </c>
      <c r="AI27" s="13" t="n">
        <v>1.1051</v>
      </c>
      <c r="AJ27" s="8" t="n">
        <v>2.01</v>
      </c>
    </row>
    <row r="28" customFormat="false" ht="15" hidden="false" customHeight="false" outlineLevel="0" collapsed="false">
      <c r="A28" s="5" t="n">
        <v>43800</v>
      </c>
      <c r="B28" s="6" t="n">
        <v>3176.7495</v>
      </c>
      <c r="C28" s="7" t="n">
        <f aca="false">IF(OR(B28="",B16=""),"",B28/B16-1)</f>
        <v>0.237384460778013</v>
      </c>
      <c r="D28" s="8" t="n">
        <v>1.86</v>
      </c>
      <c r="E28" s="8" t="n">
        <v>1.549</v>
      </c>
      <c r="F28" s="8" t="n">
        <v>1.55</v>
      </c>
      <c r="G28" s="9" t="n">
        <f aca="false">IF(OR(D28="",E28=""),"",D28-E28)</f>
        <v>0.311</v>
      </c>
      <c r="H28" s="10" t="n">
        <v>256.974</v>
      </c>
      <c r="I28" s="7" t="n">
        <f aca="false">IF(OR(H28="",H16=""),"",H28/H16-1)</f>
        <v>0.0228512974012172</v>
      </c>
      <c r="J28" s="10" t="n">
        <v>3.6</v>
      </c>
      <c r="K28" s="8" t="n">
        <v>0.03</v>
      </c>
      <c r="L28" s="11" t="n">
        <v>21933.217</v>
      </c>
      <c r="M28" s="7" t="n">
        <f aca="false">IF(OR(L28="",L16=""),"",L28/L16-1)</f>
        <v>0.0485398439525409</v>
      </c>
      <c r="N28" s="12" t="n">
        <v>105.7819</v>
      </c>
      <c r="O28" s="11" t="n">
        <v>564.241</v>
      </c>
      <c r="P28" s="7" t="n">
        <f aca="false">IF(OR(O28="",L28="",L28=0),"",O28/L28)</f>
        <v>0.0257254100025546</v>
      </c>
      <c r="Q28" s="6" t="n">
        <v>15351.5</v>
      </c>
      <c r="R28" s="7" t="n">
        <f aca="false">IF(OR(Q28="",Q16=""),"",Q28/Q16-1)</f>
        <v>0.0666689827682045</v>
      </c>
      <c r="S28" s="8" t="n">
        <v>4.116</v>
      </c>
      <c r="T28" s="10" t="n">
        <v>101.7003</v>
      </c>
      <c r="U28" s="7" t="n">
        <f aca="false">IF(OR(T28="",T16=""),"",T28/T16-1)</f>
        <v>-0.0229918073733639</v>
      </c>
      <c r="V28" s="6" t="n">
        <v>516273</v>
      </c>
      <c r="W28" s="7" t="n">
        <f aca="false">IF(OR(V28="",V16=""),"",V28/V16-1)</f>
        <v>0.0538807621489432</v>
      </c>
      <c r="X28" s="6" t="n">
        <v>14774.8</v>
      </c>
      <c r="Y28" s="7" t="n">
        <f aca="false">IF(OR(X28="",X16=""),"",X28/X16-1)</f>
        <v>0.0514674485467845</v>
      </c>
      <c r="Z28" s="6" t="n">
        <v>15683.8</v>
      </c>
      <c r="AA28" s="7" t="n">
        <f aca="false">IF(OR(Z28="",Z16=""),"",Z28/Z16-1)</f>
        <v>0.0114339148099183</v>
      </c>
      <c r="AB28" s="10" t="n">
        <v>212.194</v>
      </c>
      <c r="AC28" s="7" t="n">
        <f aca="false">IF(OR(AB28="",AB16=""),"",AB28/AB16-1)</f>
        <v>0.0367920103193526</v>
      </c>
      <c r="AD28" s="8" t="n">
        <v>67.31</v>
      </c>
      <c r="AE28" s="8" t="n">
        <v>59.8167</v>
      </c>
      <c r="AF28" s="6" t="n">
        <v>1479</v>
      </c>
      <c r="AG28" s="7" t="n">
        <f aca="false">IF(OR(AF28="",AF16=""),"",AF28/AF16-1)</f>
        <v>0.1832</v>
      </c>
      <c r="AH28" s="10" t="n">
        <v>13.78</v>
      </c>
      <c r="AI28" s="13" t="n">
        <v>1.1114</v>
      </c>
      <c r="AJ28" s="8" t="n">
        <v>1.99</v>
      </c>
    </row>
    <row r="29" customFormat="false" ht="15" hidden="false" customHeight="false" outlineLevel="0" collapsed="false">
      <c r="A29" s="5" t="n">
        <v>43831</v>
      </c>
      <c r="B29" s="6" t="n">
        <v>3278.2029</v>
      </c>
      <c r="C29" s="7" t="n">
        <f aca="false">IF(OR(B29="",B17=""),"",B29/B17-1)</f>
        <v>0.257273710492101</v>
      </c>
      <c r="D29" s="8" t="n">
        <v>1.76</v>
      </c>
      <c r="E29" s="8" t="n">
        <v>1.5329</v>
      </c>
      <c r="F29" s="8" t="n">
        <v>1.55</v>
      </c>
      <c r="G29" s="9" t="n">
        <f aca="false">IF(OR(D29="",E29=""),"",D29-E29)</f>
        <v>0.2271</v>
      </c>
      <c r="H29" s="10" t="n">
        <v>257.971</v>
      </c>
      <c r="I29" s="7" t="n">
        <f aca="false">IF(OR(H29="",H17=""),"",H29/H17-1)</f>
        <v>0.0248657195525046</v>
      </c>
      <c r="J29" s="10" t="n">
        <v>3.6</v>
      </c>
      <c r="K29" s="8" t="n">
        <v>0.03</v>
      </c>
      <c r="L29" s="11" t="n">
        <v>21751.238</v>
      </c>
      <c r="M29" s="7" t="n">
        <f aca="false">IF(OR(L29="",L17=""),"",L29/L17-1)</f>
        <v>0.0302979404687471</v>
      </c>
      <c r="N29" s="12" t="n">
        <v>106.7701</v>
      </c>
      <c r="O29" s="11" t="n">
        <v>544.122</v>
      </c>
      <c r="P29" s="7" t="n">
        <f aca="false">IF(OR(O29="",L29="",L29=0),"",O29/L29)</f>
        <v>0.0250156795672964</v>
      </c>
      <c r="Q29" s="6" t="n">
        <v>15425</v>
      </c>
      <c r="R29" s="7" t="n">
        <f aca="false">IF(OR(Q29="",Q17=""),"",Q29/Q17-1)</f>
        <v>0.0667210688648843</v>
      </c>
      <c r="S29" s="8" t="n">
        <v>4.1593</v>
      </c>
      <c r="T29" s="10" t="n">
        <v>101.0338</v>
      </c>
      <c r="U29" s="7" t="n">
        <f aca="false">IF(OR(T29="",T17=""),"",T29/T17-1)</f>
        <v>-0.0229037901551323</v>
      </c>
      <c r="V29" s="6" t="n">
        <v>515417</v>
      </c>
      <c r="W29" s="7" t="n">
        <f aca="false">IF(OR(V29="",V17=""),"",V29/V17-1)</f>
        <v>0.0501804237666288</v>
      </c>
      <c r="X29" s="6" t="n">
        <v>14868.3</v>
      </c>
      <c r="Y29" s="7" t="n">
        <f aca="false">IF(OR(X29="",X17=""),"",X29/X17-1)</f>
        <v>0.0556423327606037</v>
      </c>
      <c r="Z29" s="6" t="n">
        <v>15842.8</v>
      </c>
      <c r="AA29" s="7" t="n">
        <f aca="false">IF(OR(Z29="",Z17=""),"",Z29/Z17-1)</f>
        <v>0.0197279918642148</v>
      </c>
      <c r="AB29" s="10" t="n">
        <v>212.355</v>
      </c>
      <c r="AC29" s="7" t="n">
        <f aca="false">IF(OR(AB29="",AB17=""),"",AB29/AB17-1)</f>
        <v>0.0401146131805157</v>
      </c>
      <c r="AD29" s="8" t="n">
        <v>63.65</v>
      </c>
      <c r="AE29" s="8" t="n">
        <v>57.519</v>
      </c>
      <c r="AF29" s="6" t="n">
        <v>1561</v>
      </c>
      <c r="AG29" s="7" t="n">
        <f aca="false">IF(OR(AF29="",AF17=""),"",AF29/AF17-1)</f>
        <v>0.208204334365325</v>
      </c>
      <c r="AH29" s="10" t="n">
        <v>18.84</v>
      </c>
      <c r="AI29" s="13" t="n">
        <v>1.1098</v>
      </c>
      <c r="AJ29" s="8" t="n">
        <v>1.86</v>
      </c>
    </row>
    <row r="30" customFormat="false" ht="15" hidden="false" customHeight="false" outlineLevel="0" collapsed="false">
      <c r="A30" s="5" t="n">
        <v>43862</v>
      </c>
      <c r="B30" s="6" t="n">
        <v>3277.3142</v>
      </c>
      <c r="C30" s="7" t="n">
        <f aca="false">IF(OR(B30="",B18=""),"",B30/B18-1)</f>
        <v>0.189648185388731</v>
      </c>
      <c r="D30" s="8" t="n">
        <v>1.5</v>
      </c>
      <c r="E30" s="8" t="n">
        <v>1.4058</v>
      </c>
      <c r="F30" s="8" t="n">
        <v>1.58</v>
      </c>
      <c r="G30" s="9" t="n">
        <f aca="false">IF(OR(D30="",E30=""),"",D30-E30)</f>
        <v>0.0942000000000001</v>
      </c>
      <c r="H30" s="10" t="n">
        <v>258.678</v>
      </c>
      <c r="I30" s="7" t="n">
        <f aca="false">IF(OR(H30="",H18=""),"",H30/H18-1)</f>
        <v>0.0233487356394595</v>
      </c>
      <c r="J30" s="10" t="n">
        <v>3.5</v>
      </c>
      <c r="K30" s="8" t="n">
        <v>0</v>
      </c>
      <c r="L30" s="11" t="n">
        <v>21751.238</v>
      </c>
      <c r="M30" s="7" t="n">
        <f aca="false">IF(OR(L30="",L18=""),"",L30/L18-1)</f>
        <v>0.0302979404687471</v>
      </c>
      <c r="N30" s="12" t="n">
        <v>106.7701</v>
      </c>
      <c r="O30" s="11" t="n">
        <v>544.122</v>
      </c>
      <c r="P30" s="7" t="n">
        <f aca="false">IF(OR(O30="",L30="",L30=0),"",O30/L30)</f>
        <v>0.0250156795672964</v>
      </c>
      <c r="Q30" s="6" t="n">
        <v>15492.8</v>
      </c>
      <c r="R30" s="7" t="n">
        <f aca="false">IF(OR(Q30="",Q18=""),"",Q30/Q18-1)</f>
        <v>0.0679828491858878</v>
      </c>
      <c r="S30" s="8" t="n">
        <v>4.1699</v>
      </c>
      <c r="T30" s="10" t="n">
        <v>101.3735</v>
      </c>
      <c r="U30" s="7" t="n">
        <f aca="false">IF(OR(T30="",T18=""),"",T30/T18-1)</f>
        <v>-0.0142322177502088</v>
      </c>
      <c r="V30" s="6" t="n">
        <v>515800</v>
      </c>
      <c r="W30" s="7" t="n">
        <f aca="false">IF(OR(V30="",V18=""),"",V30/V18-1)</f>
        <v>0.0476755333842478</v>
      </c>
      <c r="X30" s="6" t="n">
        <v>14828.1</v>
      </c>
      <c r="Y30" s="7" t="n">
        <f aca="false">IF(OR(X30="",X18=""),"",X30/X18-1)</f>
        <v>0.0503421309872922</v>
      </c>
      <c r="Z30" s="6" t="n">
        <v>15900.3</v>
      </c>
      <c r="AA30" s="7" t="n">
        <f aca="false">IF(OR(Z30="",Z18=""),"",Z30/Z18-1)</f>
        <v>0.0218439114675715</v>
      </c>
      <c r="AB30" s="10" t="n">
        <v>213.175</v>
      </c>
      <c r="AC30" s="7" t="n">
        <f aca="false">IF(OR(AB30="",AB18=""),"",AB30/AB18-1)</f>
        <v>0.0429866577946954</v>
      </c>
      <c r="AD30" s="8" t="n">
        <v>55.66</v>
      </c>
      <c r="AE30" s="8" t="n">
        <v>50.5426</v>
      </c>
      <c r="AF30" s="6" t="n">
        <v>1597</v>
      </c>
      <c r="AG30" s="7" t="n">
        <f aca="false">IF(OR(AF30="",AF18=""),"",AF30/AF18-1)</f>
        <v>0.209848484848485</v>
      </c>
      <c r="AH30" s="10" t="n">
        <v>40.11</v>
      </c>
      <c r="AI30" s="13" t="n">
        <v>1.0911</v>
      </c>
      <c r="AJ30" s="8" t="n">
        <v>1.69</v>
      </c>
    </row>
    <row r="31" customFormat="false" ht="15" hidden="false" customHeight="false" outlineLevel="0" collapsed="false">
      <c r="A31" s="5" t="n">
        <v>43891</v>
      </c>
      <c r="B31" s="6" t="n">
        <v>2652.3936</v>
      </c>
      <c r="C31" s="7" t="n">
        <f aca="false">IF(OR(B31="",B19=""),"",B31/B19-1)</f>
        <v>-0.054061155928359</v>
      </c>
      <c r="D31" s="8" t="n">
        <v>0.87</v>
      </c>
      <c r="E31" s="8" t="n">
        <v>0.3318</v>
      </c>
      <c r="F31" s="8" t="n">
        <v>0.65</v>
      </c>
      <c r="G31" s="9" t="n">
        <f aca="false">IF(OR(D31="",E31=""),"",D31-E31)</f>
        <v>0.5382</v>
      </c>
      <c r="H31" s="10" t="n">
        <v>258.115</v>
      </c>
      <c r="I31" s="7" t="n">
        <f aca="false">IF(OR(H31="",H19=""),"",H31/H19-1)</f>
        <v>0.0153932699191981</v>
      </c>
      <c r="J31" s="10" t="n">
        <v>4.4</v>
      </c>
      <c r="K31" s="8" t="n">
        <v>0.27</v>
      </c>
      <c r="L31" s="11" t="n">
        <v>21751.238</v>
      </c>
      <c r="M31" s="7" t="n">
        <f aca="false">IF(OR(L31="",L19=""),"",L31/L19-1)</f>
        <v>0.0302979404687471</v>
      </c>
      <c r="N31" s="12" t="n">
        <v>106.7701</v>
      </c>
      <c r="O31" s="11" t="n">
        <v>544.122</v>
      </c>
      <c r="P31" s="7" t="n">
        <f aca="false">IF(OR(O31="",L31="",L31=0),"",O31/L31)</f>
        <v>0.0250156795672964</v>
      </c>
      <c r="Q31" s="6" t="n">
        <v>16034.4</v>
      </c>
      <c r="R31" s="7" t="n">
        <f aca="false">IF(OR(Q31="",Q19=""),"",Q31/Q19-1)</f>
        <v>0.101301555685291</v>
      </c>
      <c r="S31" s="8" t="n">
        <v>4.619</v>
      </c>
      <c r="T31" s="10" t="n">
        <v>97.4078</v>
      </c>
      <c r="U31" s="7" t="n">
        <f aca="false">IF(OR(T31="",T19=""),"",T31/T19-1)</f>
        <v>-0.0531505496438907</v>
      </c>
      <c r="V31" s="6" t="n">
        <v>468632</v>
      </c>
      <c r="W31" s="7" t="n">
        <f aca="false">IF(OR(V31="",V19=""),"",V31/V19-1)</f>
        <v>-0.0620118731660843</v>
      </c>
      <c r="X31" s="6" t="n">
        <v>13812.8</v>
      </c>
      <c r="Y31" s="7" t="n">
        <f aca="false">IF(OR(X31="",X19=""),"",X31/X19-1)</f>
        <v>-0.0305854610277502</v>
      </c>
      <c r="Z31" s="6" t="n">
        <v>15702.3</v>
      </c>
      <c r="AA31" s="7" t="n">
        <f aca="false">IF(OR(Z31="",Z19=""),"",Z31/Z19-1)</f>
        <v>0.00872386213985155</v>
      </c>
      <c r="AB31" s="10" t="n">
        <v>215.151</v>
      </c>
      <c r="AC31" s="7" t="n">
        <f aca="false">IF(OR(AB31="",AB19=""),"",AB31/AB19-1)</f>
        <v>0.0457676136777894</v>
      </c>
      <c r="AD31" s="8" t="n">
        <v>32.01</v>
      </c>
      <c r="AE31" s="8" t="n">
        <v>29.2077</v>
      </c>
      <c r="AF31" s="6" t="n">
        <v>1592</v>
      </c>
      <c r="AG31" s="7" t="n">
        <f aca="false">IF(OR(AF31="",AF19=""),"",AF31/AF19-1)</f>
        <v>0.223674096848578</v>
      </c>
      <c r="AH31" s="10" t="n">
        <v>53.54</v>
      </c>
      <c r="AI31" s="13" t="n">
        <v>1.1046</v>
      </c>
      <c r="AJ31" s="8" t="n">
        <v>2.2</v>
      </c>
    </row>
    <row r="32" customFormat="false" ht="15" hidden="false" customHeight="false" outlineLevel="0" collapsed="false">
      <c r="A32" s="5" t="n">
        <v>43922</v>
      </c>
      <c r="B32" s="6" t="n">
        <v>2761.9752</v>
      </c>
      <c r="C32" s="7" t="n">
        <f aca="false">IF(OR(B32="",B20=""),"",B32/B20-1)</f>
        <v>-0.0488411047592811</v>
      </c>
      <c r="D32" s="8" t="n">
        <v>0.66</v>
      </c>
      <c r="E32" s="8" t="n">
        <v>0.1843</v>
      </c>
      <c r="F32" s="8" t="n">
        <v>0.05</v>
      </c>
      <c r="G32" s="9" t="n">
        <f aca="false">IF(OR(D32="",E32=""),"",D32-E32)</f>
        <v>0.4757</v>
      </c>
      <c r="H32" s="10" t="n">
        <v>256.389</v>
      </c>
      <c r="I32" s="7" t="n">
        <f aca="false">IF(OR(H32="",H20=""),"",H32/H20-1)</f>
        <v>0.00329096686336827</v>
      </c>
      <c r="J32" s="10" t="n">
        <v>14.8</v>
      </c>
      <c r="K32" s="8" t="n">
        <v>4</v>
      </c>
      <c r="L32" s="11" t="n">
        <v>19958.291</v>
      </c>
      <c r="M32" s="7" t="n">
        <f aca="false">IF(OR(L32="",L20=""),"",L32/L20-1)</f>
        <v>-0.0672797070446694</v>
      </c>
      <c r="N32" s="12" t="n">
        <v>132.6629</v>
      </c>
      <c r="O32" s="11" t="n">
        <v>514.737</v>
      </c>
      <c r="P32" s="7" t="n">
        <f aca="false">IF(OR(O32="",L32="",L32=0),"",O32/L32)</f>
        <v>0.0257906350799274</v>
      </c>
      <c r="Q32" s="6" t="n">
        <v>17064</v>
      </c>
      <c r="R32" s="7" t="n">
        <f aca="false">IF(OR(Q32="",Q20=""),"",Q32/Q20-1)</f>
        <v>0.169247636014801</v>
      </c>
      <c r="S32" s="8" t="n">
        <v>6.2983</v>
      </c>
      <c r="T32" s="10" t="n">
        <v>84.5619</v>
      </c>
      <c r="U32" s="7" t="n">
        <f aca="false">IF(OR(T32="",T20=""),"",T32/T20-1)</f>
        <v>-0.173182822613763</v>
      </c>
      <c r="V32" s="6" t="n">
        <v>402157</v>
      </c>
      <c r="W32" s="7" t="n">
        <f aca="false">IF(OR(V32="",V20=""),"",V32/V20-1)</f>
        <v>-0.195056534209752</v>
      </c>
      <c r="X32" s="6" t="n">
        <v>12249.2</v>
      </c>
      <c r="Y32" s="7" t="n">
        <f aca="false">IF(OR(X32="",X20=""),"",X32/X20-1)</f>
        <v>-0.142813156053184</v>
      </c>
      <c r="Z32" s="6" t="n">
        <v>18015.3</v>
      </c>
      <c r="AA32" s="7" t="n">
        <f aca="false">IF(OR(Z32="",Z20=""),"",Z32/Z20-1)</f>
        <v>0.15971855647539</v>
      </c>
      <c r="AB32" s="10" t="n">
        <v>217.196</v>
      </c>
      <c r="AC32" s="7" t="n">
        <f aca="false">IF(OR(AB32="",AB20=""),"",AB32/AB20-1)</f>
        <v>0.0459766240145629</v>
      </c>
      <c r="AD32" s="8" t="n">
        <v>18.38</v>
      </c>
      <c r="AE32" s="8" t="n">
        <v>16.5476</v>
      </c>
      <c r="AF32" s="6" t="n">
        <v>1683</v>
      </c>
      <c r="AG32" s="7" t="n">
        <f aca="false">IF(OR(AF32="",AF20=""),"",AF32/AF20-1)</f>
        <v>0.308709175738725</v>
      </c>
      <c r="AH32" s="10" t="n">
        <v>34.15</v>
      </c>
      <c r="AI32" s="13" t="n">
        <v>1.0871</v>
      </c>
      <c r="AJ32" s="8" t="n">
        <v>1.53</v>
      </c>
    </row>
    <row r="33" customFormat="false" ht="15" hidden="false" customHeight="false" outlineLevel="0" collapsed="false">
      <c r="A33" s="5" t="n">
        <v>43952</v>
      </c>
      <c r="B33" s="6" t="n">
        <v>2919.615</v>
      </c>
      <c r="C33" s="7" t="n">
        <f aca="false">IF(OR(B33="",B21=""),"",B33/B21-1)</f>
        <v>0.0227361097974925</v>
      </c>
      <c r="D33" s="8" t="n">
        <v>0.67</v>
      </c>
      <c r="E33" s="8" t="n">
        <v>0.1615</v>
      </c>
      <c r="F33" s="8" t="n">
        <v>0.05</v>
      </c>
      <c r="G33" s="9" t="n">
        <f aca="false">IF(OR(D33="",E33=""),"",D33-E33)</f>
        <v>0.5085</v>
      </c>
      <c r="H33" s="10" t="n">
        <v>256.394</v>
      </c>
      <c r="I33" s="7" t="n">
        <f aca="false">IF(OR(H33="",H21=""),"",H33/H21-1)</f>
        <v>0.00117926370210708</v>
      </c>
      <c r="J33" s="10" t="n">
        <v>13.2</v>
      </c>
      <c r="K33" s="8" t="n">
        <v>7.23</v>
      </c>
      <c r="L33" s="11" t="n">
        <v>19958.291</v>
      </c>
      <c r="M33" s="7" t="n">
        <f aca="false">IF(OR(L33="",L21=""),"",L33/L21-1)</f>
        <v>-0.0672797070446694</v>
      </c>
      <c r="N33" s="12" t="n">
        <v>132.6629</v>
      </c>
      <c r="O33" s="11" t="n">
        <v>514.737</v>
      </c>
      <c r="P33" s="7" t="n">
        <f aca="false">IF(OR(O33="",L33="",L33=0),"",O33/L33)</f>
        <v>0.0257906350799274</v>
      </c>
      <c r="Q33" s="6" t="n">
        <v>17931.9</v>
      </c>
      <c r="R33" s="7" t="n">
        <f aca="false">IF(OR(Q33="",Q21=""),"",Q33/Q21-1)</f>
        <v>0.219591653517602</v>
      </c>
      <c r="S33" s="8" t="n">
        <v>6.9476</v>
      </c>
      <c r="T33" s="10" t="n">
        <v>85.9604</v>
      </c>
      <c r="U33" s="7" t="n">
        <f aca="false">IF(OR(T33="",T21=""),"",T33/T21-1)</f>
        <v>-0.160477381045394</v>
      </c>
      <c r="V33" s="6" t="n">
        <v>480256</v>
      </c>
      <c r="W33" s="7" t="n">
        <f aca="false">IF(OR(V33="",V21=""),"",V33/V21-1)</f>
        <v>-0.0496679568462628</v>
      </c>
      <c r="X33" s="6" t="n">
        <v>13281.5</v>
      </c>
      <c r="Y33" s="7" t="n">
        <f aca="false">IF(OR(X33="",X21=""),"",X33/X21-1)</f>
        <v>-0.0746727233458507</v>
      </c>
      <c r="Z33" s="6" t="n">
        <v>17110</v>
      </c>
      <c r="AA33" s="7" t="n">
        <f aca="false">IF(OR(Z33="",Z21=""),"",Z33/Z21-1)</f>
        <v>0.101568334578043</v>
      </c>
      <c r="AB33" s="10" t="n">
        <v>218.444</v>
      </c>
      <c r="AC33" s="7" t="n">
        <f aca="false">IF(OR(AB33="",AB21=""),"",AB33/AB21-1)</f>
        <v>0.0436286500535086</v>
      </c>
      <c r="AD33" s="8" t="n">
        <v>29.38</v>
      </c>
      <c r="AE33" s="8" t="n">
        <v>28.5625</v>
      </c>
      <c r="AF33" s="6" t="n">
        <v>1716</v>
      </c>
      <c r="AG33" s="7" t="n">
        <f aca="false">IF(OR(AF33="",AF21=""),"",AF33/AF21-1)</f>
        <v>0.336448598130841</v>
      </c>
      <c r="AH33" s="10" t="n">
        <v>27.51</v>
      </c>
      <c r="AI33" s="13" t="n">
        <v>1.0907</v>
      </c>
      <c r="AJ33" s="8" t="n">
        <v>1.01</v>
      </c>
    </row>
    <row r="34" customFormat="false" ht="15" hidden="false" customHeight="false" outlineLevel="0" collapsed="false">
      <c r="A34" s="5" t="n">
        <v>43983</v>
      </c>
      <c r="B34" s="6" t="n">
        <v>3104.6609</v>
      </c>
      <c r="C34" s="7" t="n">
        <f aca="false">IF(OR(B34="",B22=""),"",B34/B22-1)</f>
        <v>0.0742139389724479</v>
      </c>
      <c r="D34" s="8" t="n">
        <v>0.73</v>
      </c>
      <c r="E34" s="8" t="n">
        <v>0.1764</v>
      </c>
      <c r="F34" s="8" t="n">
        <v>0.08</v>
      </c>
      <c r="G34" s="9" t="n">
        <f aca="false">IF(OR(D34="",E34=""),"",D34-E34)</f>
        <v>0.5536</v>
      </c>
      <c r="H34" s="10" t="n">
        <v>257.797</v>
      </c>
      <c r="I34" s="7" t="n">
        <f aca="false">IF(OR(H34="",H22=""),"",H34/H22-1)</f>
        <v>0.00645733047555486</v>
      </c>
      <c r="J34" s="10" t="n">
        <v>11</v>
      </c>
      <c r="K34" s="8" t="n">
        <v>9.43</v>
      </c>
      <c r="L34" s="11" t="n">
        <v>19958.291</v>
      </c>
      <c r="M34" s="7" t="n">
        <f aca="false">IF(OR(L34="",L22=""),"",L34/L22-1)</f>
        <v>-0.0672797070446694</v>
      </c>
      <c r="N34" s="12" t="n">
        <v>132.6629</v>
      </c>
      <c r="O34" s="11" t="n">
        <v>514.737</v>
      </c>
      <c r="P34" s="7" t="n">
        <f aca="false">IF(OR(O34="",L34="",L34=0),"",O34/L34)</f>
        <v>0.0257906350799274</v>
      </c>
      <c r="Q34" s="6" t="n">
        <v>18180</v>
      </c>
      <c r="R34" s="7" t="n">
        <f aca="false">IF(OR(Q34="",Q22=""),"",Q34/Q22-1)</f>
        <v>0.228477984701462</v>
      </c>
      <c r="S34" s="8" t="n">
        <v>7.1278</v>
      </c>
      <c r="T34" s="10" t="n">
        <v>91.5934</v>
      </c>
      <c r="U34" s="7" t="n">
        <f aca="false">IF(OR(T34="",T22=""),"",T34/T22-1)</f>
        <v>-0.105860646735815</v>
      </c>
      <c r="V34" s="6" t="n">
        <v>518998</v>
      </c>
      <c r="W34" s="7" t="n">
        <f aca="false">IF(OR(V34="",V22=""),"",V34/V22-1)</f>
        <v>0.0263347841821227</v>
      </c>
      <c r="X34" s="6" t="n">
        <v>14049.2</v>
      </c>
      <c r="Y34" s="7" t="n">
        <f aca="false">IF(OR(X34="",X22=""),"",X34/X22-1)</f>
        <v>-0.0249502036963779</v>
      </c>
      <c r="Z34" s="6" t="n">
        <v>17050.2</v>
      </c>
      <c r="AA34" s="7" t="n">
        <f aca="false">IF(OR(Z34="",Z22=""),"",Z34/Z22-1)</f>
        <v>0.0956233413228291</v>
      </c>
      <c r="AB34" s="10" t="n">
        <v>219.769</v>
      </c>
      <c r="AC34" s="7" t="n">
        <f aca="false">IF(OR(AB34="",AB22=""),"",AB34/AB22-1)</f>
        <v>0.0437952390903738</v>
      </c>
      <c r="AD34" s="8" t="n">
        <v>40.27</v>
      </c>
      <c r="AE34" s="8" t="n">
        <v>38.3073</v>
      </c>
      <c r="AF34" s="6" t="n">
        <v>1732</v>
      </c>
      <c r="AG34" s="7" t="n">
        <f aca="false">IF(OR(AF34="",AF22=""),"",AF34/AF22-1)</f>
        <v>0.274466519499632</v>
      </c>
      <c r="AH34" s="10" t="n">
        <v>30.43</v>
      </c>
      <c r="AI34" s="13" t="n">
        <v>1.1259</v>
      </c>
      <c r="AJ34" s="8" t="n">
        <v>0.69</v>
      </c>
    </row>
    <row r="35" customFormat="false" ht="15" hidden="false" customHeight="false" outlineLevel="0" collapsed="false">
      <c r="A35" s="5" t="n">
        <v>44013</v>
      </c>
      <c r="B35" s="6" t="n">
        <v>3207.6191</v>
      </c>
      <c r="C35" s="7" t="n">
        <f aca="false">IF(OR(B35="",B23=""),"",B35/B23-1)</f>
        <v>0.0705932845803976</v>
      </c>
      <c r="D35" s="8" t="n">
        <v>0.62</v>
      </c>
      <c r="E35" s="8" t="n">
        <v>0.1455</v>
      </c>
      <c r="F35" s="8" t="n">
        <v>0.09</v>
      </c>
      <c r="G35" s="9" t="n">
        <f aca="false">IF(OR(D35="",E35=""),"",D35-E35)</f>
        <v>0.4745</v>
      </c>
      <c r="H35" s="10" t="n">
        <v>259.101</v>
      </c>
      <c r="I35" s="7" t="n">
        <f aca="false">IF(OR(H35="",H23=""),"",H35/H23-1)</f>
        <v>0.00986081825303709</v>
      </c>
      <c r="J35" s="10" t="n">
        <v>10.2</v>
      </c>
      <c r="K35" s="8" t="n">
        <v>7.9</v>
      </c>
      <c r="L35" s="11" t="n">
        <v>21704.437</v>
      </c>
      <c r="M35" s="7" t="n">
        <f aca="false">IF(OR(L35="",L23=""),"",L35/L23-1)</f>
        <v>-0.000586356298433066</v>
      </c>
      <c r="N35" s="12" t="n">
        <v>124.1469</v>
      </c>
      <c r="O35" s="11" t="n">
        <v>508.011</v>
      </c>
      <c r="P35" s="7" t="n">
        <f aca="false">IF(OR(O35="",L35="",L35=0),"",O35/L35)</f>
        <v>0.0234058593641475</v>
      </c>
      <c r="Q35" s="6" t="n">
        <v>18331.4</v>
      </c>
      <c r="R35" s="7" t="n">
        <f aca="false">IF(OR(Q35="",Q23=""),"",Q35/Q23-1)</f>
        <v>0.231725426165951</v>
      </c>
      <c r="S35" s="8" t="n">
        <v>6.9604</v>
      </c>
      <c r="T35" s="10" t="n">
        <v>95.0256</v>
      </c>
      <c r="U35" s="7" t="n">
        <f aca="false">IF(OR(T35="",T23=""),"",T35/T23-1)</f>
        <v>-0.0678354495942743</v>
      </c>
      <c r="V35" s="6" t="n">
        <v>526938</v>
      </c>
      <c r="W35" s="7" t="n">
        <f aca="false">IF(OR(V35="",V23=""),"",V35/V23-1)</f>
        <v>0.0344510776636324</v>
      </c>
      <c r="X35" s="6" t="n">
        <v>14307.2</v>
      </c>
      <c r="Y35" s="7" t="n">
        <f aca="false">IF(OR(X35="",X23=""),"",X35/X23-1)</f>
        <v>-0.0130242825607063</v>
      </c>
      <c r="Z35" s="6" t="n">
        <v>17202.9</v>
      </c>
      <c r="AA35" s="7" t="n">
        <f aca="false">IF(OR(Z35="",Z23=""),"",Z35/Z23-1)</f>
        <v>0.104066386845855</v>
      </c>
      <c r="AB35" s="10" t="n">
        <v>221.525</v>
      </c>
      <c r="AC35" s="7" t="n">
        <f aca="false">IF(OR(AB35="",AB23=""),"",AB35/AB23-1)</f>
        <v>0.0484008367329554</v>
      </c>
      <c r="AD35" s="8" t="n">
        <v>43.24</v>
      </c>
      <c r="AE35" s="8" t="n">
        <v>40.7105</v>
      </c>
      <c r="AF35" s="6" t="n">
        <v>1847</v>
      </c>
      <c r="AG35" s="7" t="n">
        <f aca="false">IF(OR(AF35="",AF23=""),"",AF35/AF23-1)</f>
        <v>0.307147912243454</v>
      </c>
      <c r="AH35" s="10" t="n">
        <v>24.46</v>
      </c>
      <c r="AI35" s="13" t="n">
        <v>1.1488</v>
      </c>
      <c r="AJ35" s="8" t="n">
        <v>0.53</v>
      </c>
    </row>
    <row r="36" customFormat="false" ht="15" hidden="false" customHeight="false" outlineLevel="0" collapsed="false">
      <c r="A36" s="5" t="n">
        <v>44044</v>
      </c>
      <c r="B36" s="6" t="n">
        <v>3391.71</v>
      </c>
      <c r="C36" s="7" t="n">
        <f aca="false">IF(OR(B36="",B24=""),"",B36/B24-1)</f>
        <v>0.170565006735811</v>
      </c>
      <c r="D36" s="8" t="n">
        <v>0.65</v>
      </c>
      <c r="E36" s="8" t="n">
        <v>0.1305</v>
      </c>
      <c r="F36" s="8" t="n">
        <v>0.1</v>
      </c>
      <c r="G36" s="9" t="n">
        <f aca="false">IF(OR(D36="",E36=""),"",D36-E36)</f>
        <v>0.5195</v>
      </c>
      <c r="H36" s="10" t="n">
        <v>259.918</v>
      </c>
      <c r="I36" s="7" t="n">
        <f aca="false">IF(OR(H36="",H24=""),"",H36/H24-1)</f>
        <v>0.0130964538233072</v>
      </c>
      <c r="J36" s="10" t="n">
        <v>8.4</v>
      </c>
      <c r="K36" s="8" t="n">
        <v>6.3</v>
      </c>
      <c r="L36" s="11" t="n">
        <v>21704.437</v>
      </c>
      <c r="M36" s="7" t="n">
        <f aca="false">IF(OR(L36="",L24=""),"",L36/L24-1)</f>
        <v>-0.000586356298433066</v>
      </c>
      <c r="N36" s="12" t="n">
        <v>124.1469</v>
      </c>
      <c r="O36" s="11" t="n">
        <v>508.011</v>
      </c>
      <c r="P36" s="7" t="n">
        <f aca="false">IF(OR(O36="",L36="",L36=0),"",O36/L36)</f>
        <v>0.0234058593641475</v>
      </c>
      <c r="Q36" s="6" t="n">
        <v>18413.3</v>
      </c>
      <c r="R36" s="7" t="n">
        <f aca="false">IF(OR(Q36="",Q24=""),"",Q36/Q24-1)</f>
        <v>0.229651939309755</v>
      </c>
      <c r="S36" s="8" t="n">
        <v>6.9759</v>
      </c>
      <c r="T36" s="10" t="n">
        <v>95.9549</v>
      </c>
      <c r="U36" s="7" t="n">
        <f aca="false">IF(OR(T36="",T24=""),"",T36/T24-1)</f>
        <v>-0.0651224193532672</v>
      </c>
      <c r="V36" s="6" t="n">
        <v>531019</v>
      </c>
      <c r="W36" s="7" t="n">
        <f aca="false">IF(OR(V36="",V24=""),"",V36/V24-1)</f>
        <v>0.034677001375623</v>
      </c>
      <c r="X36" s="6" t="n">
        <v>14462.2</v>
      </c>
      <c r="Y36" s="7" t="n">
        <f aca="false">IF(OR(X36="",X24=""),"",X36/X24-1)</f>
        <v>-0.00659422181313629</v>
      </c>
      <c r="Z36" s="6" t="n">
        <v>16542</v>
      </c>
      <c r="AA36" s="7" t="n">
        <f aca="false">IF(OR(Z36="",Z24=""),"",Z36/Z24-1)</f>
        <v>0.0560318686439867</v>
      </c>
      <c r="AB36" s="10" t="n">
        <v>224.003</v>
      </c>
      <c r="AC36" s="7" t="n">
        <f aca="false">IF(OR(AB36="",AB24=""),"",AB36/AB24-1)</f>
        <v>0.0583352231923497</v>
      </c>
      <c r="AD36" s="8" t="n">
        <v>44.74</v>
      </c>
      <c r="AE36" s="8" t="n">
        <v>42.339</v>
      </c>
      <c r="AF36" s="6" t="n">
        <v>1969</v>
      </c>
      <c r="AG36" s="7" t="n">
        <f aca="false">IF(OR(AF36="",AF24=""),"",AF36/AF24-1)</f>
        <v>0.312666666666667</v>
      </c>
      <c r="AH36" s="10" t="n">
        <v>26.41</v>
      </c>
      <c r="AI36" s="13" t="n">
        <v>1.1831</v>
      </c>
      <c r="AJ36" s="8" t="n">
        <v>0.47</v>
      </c>
    </row>
    <row r="37" customFormat="false" ht="15" hidden="false" customHeight="false" outlineLevel="0" collapsed="false">
      <c r="A37" s="5" t="n">
        <v>44075</v>
      </c>
      <c r="B37" s="6" t="n">
        <v>3365.5167</v>
      </c>
      <c r="C37" s="7" t="n">
        <f aca="false">IF(OR(B37="",B25=""),"",B37/B25-1)</f>
        <v>0.128551524467533</v>
      </c>
      <c r="D37" s="8" t="n">
        <v>0.68</v>
      </c>
      <c r="E37" s="8" t="n">
        <v>0.1276</v>
      </c>
      <c r="F37" s="8" t="n">
        <v>0.09</v>
      </c>
      <c r="G37" s="9" t="n">
        <f aca="false">IF(OR(D37="",E37=""),"",D37-E37)</f>
        <v>0.5524</v>
      </c>
      <c r="H37" s="10" t="n">
        <v>260.28</v>
      </c>
      <c r="I37" s="7" t="n">
        <f aca="false">IF(OR(H37="",H25=""),"",H37/H25-1)</f>
        <v>0.0137132486105647</v>
      </c>
      <c r="J37" s="10" t="n">
        <v>7.8</v>
      </c>
      <c r="K37" s="8" t="n">
        <v>5.23</v>
      </c>
      <c r="L37" s="11" t="n">
        <v>21704.437</v>
      </c>
      <c r="M37" s="7" t="n">
        <f aca="false">IF(OR(L37="",L25=""),"",L37/L25-1)</f>
        <v>-0.000586356298433066</v>
      </c>
      <c r="N37" s="12" t="n">
        <v>124.1469</v>
      </c>
      <c r="O37" s="11" t="n">
        <v>508.011</v>
      </c>
      <c r="P37" s="7" t="n">
        <f aca="false">IF(OR(O37="",L37="",L37=0),"",O37/L37)</f>
        <v>0.0234058593641475</v>
      </c>
      <c r="Q37" s="6" t="n">
        <v>18605</v>
      </c>
      <c r="R37" s="7" t="n">
        <f aca="false">IF(OR(Q37="",Q25=""),"",Q37/Q25-1)</f>
        <v>0.236442660428518</v>
      </c>
      <c r="S37" s="8" t="n">
        <v>7.0484</v>
      </c>
      <c r="T37" s="10" t="n">
        <v>95.9669</v>
      </c>
      <c r="U37" s="7" t="n">
        <f aca="false">IF(OR(T37="",T25=""),"",T37/T25-1)</f>
        <v>-0.061831018547937</v>
      </c>
      <c r="V37" s="6" t="n">
        <v>541241</v>
      </c>
      <c r="W37" s="7" t="n">
        <f aca="false">IF(OR(V37="",V25=""),"",V37/V25-1)</f>
        <v>0.0622920767885566</v>
      </c>
      <c r="X37" s="6" t="n">
        <v>14668.1</v>
      </c>
      <c r="Y37" s="7" t="n">
        <f aca="false">IF(OR(X37="",X25=""),"",X37/X25-1)</f>
        <v>0.0053116390004524</v>
      </c>
      <c r="Z37" s="6" t="n">
        <v>16633.7</v>
      </c>
      <c r="AA37" s="7" t="n">
        <f aca="false">IF(OR(Z37="",Z25=""),"",Z37/Z25-1)</f>
        <v>0.0596400700748527</v>
      </c>
      <c r="AB37" s="10" t="n">
        <v>226.751</v>
      </c>
      <c r="AC37" s="7" t="n">
        <f aca="false">IF(OR(AB37="",AB25=""),"",AB37/AB25-1)</f>
        <v>0.0704183464410813</v>
      </c>
      <c r="AD37" s="8" t="n">
        <v>40.91</v>
      </c>
      <c r="AE37" s="8" t="n">
        <v>39.6343</v>
      </c>
      <c r="AF37" s="6" t="n">
        <v>1922</v>
      </c>
      <c r="AG37" s="7" t="n">
        <f aca="false">IF(OR(AF37="",AF25=""),"",AF37/AF25-1)</f>
        <v>0.272005294506949</v>
      </c>
      <c r="AH37" s="10" t="n">
        <v>26.37</v>
      </c>
      <c r="AI37" s="13" t="n">
        <v>1.1785</v>
      </c>
      <c r="AJ37" s="8" t="n">
        <v>0.47</v>
      </c>
    </row>
    <row r="38" customFormat="false" ht="15" hidden="false" customHeight="false" outlineLevel="0" collapsed="false">
      <c r="A38" s="5" t="n">
        <v>44105</v>
      </c>
      <c r="B38" s="6" t="n">
        <v>3418.7014</v>
      </c>
      <c r="C38" s="7" t="n">
        <f aca="false">IF(OR(B38="",B26=""),"",B38/B26-1)</f>
        <v>0.148109064775261</v>
      </c>
      <c r="D38" s="8" t="n">
        <v>0.79</v>
      </c>
      <c r="E38" s="8" t="n">
        <v>0.1267</v>
      </c>
      <c r="F38" s="8" t="n">
        <v>0.09</v>
      </c>
      <c r="G38" s="9" t="n">
        <f aca="false">IF(OR(D38="",E38=""),"",D38-E38)</f>
        <v>0.6633</v>
      </c>
      <c r="H38" s="10" t="n">
        <v>260.388</v>
      </c>
      <c r="I38" s="7" t="n">
        <f aca="false">IF(OR(H38="",H26=""),"",H38/H26-1)</f>
        <v>0.0118206616772749</v>
      </c>
      <c r="J38" s="10" t="n">
        <v>6.9</v>
      </c>
      <c r="K38" s="8" t="n">
        <v>4.13</v>
      </c>
      <c r="L38" s="11" t="n">
        <v>22087.16</v>
      </c>
      <c r="M38" s="7" t="n">
        <f aca="false">IF(OR(L38="",L26=""),"",L38/L26-1)</f>
        <v>0.00701871503847329</v>
      </c>
      <c r="N38" s="12" t="n">
        <v>125.6286</v>
      </c>
      <c r="O38" s="11" t="n">
        <v>516.711</v>
      </c>
      <c r="P38" s="7" t="n">
        <f aca="false">IF(OR(O38="",L38="",L38=0),"",O38/L38)</f>
        <v>0.0233941801481041</v>
      </c>
      <c r="Q38" s="6" t="n">
        <v>18759.9</v>
      </c>
      <c r="R38" s="7" t="n">
        <f aca="false">IF(OR(Q38="",Q26=""),"",Q38/Q26-1)</f>
        <v>0.235374301970288</v>
      </c>
      <c r="S38" s="8" t="n">
        <v>7.1374</v>
      </c>
      <c r="T38" s="10" t="n">
        <v>96.7394</v>
      </c>
      <c r="U38" s="7" t="n">
        <f aca="false">IF(OR(T38="",T26=""),"",T38/T26-1)</f>
        <v>-0.0462268345754283</v>
      </c>
      <c r="V38" s="6" t="n">
        <v>539469</v>
      </c>
      <c r="W38" s="7" t="n">
        <f aca="false">IF(OR(V38="",V26=""),"",V38/V26-1)</f>
        <v>0.0559148329816677</v>
      </c>
      <c r="X38" s="6" t="n">
        <v>14725.8</v>
      </c>
      <c r="Y38" s="7" t="n">
        <f aca="false">IF(OR(X38="",X26=""),"",X38/X26-1)</f>
        <v>0.00741581950278425</v>
      </c>
      <c r="Z38" s="6" t="n">
        <v>16573.6</v>
      </c>
      <c r="AA38" s="7" t="n">
        <f aca="false">IF(OR(Z38="",Z26=""),"",Z38/Z26-1)</f>
        <v>0.0544276980042115</v>
      </c>
      <c r="AB38" s="10" t="n">
        <v>229.758</v>
      </c>
      <c r="AC38" s="7" t="n">
        <f aca="false">IF(OR(AB38="",AB26=""),"",AB38/AB26-1)</f>
        <v>0.0841425780697036</v>
      </c>
      <c r="AD38" s="8" t="n">
        <v>40.19</v>
      </c>
      <c r="AE38" s="8" t="n">
        <v>39.3959</v>
      </c>
      <c r="AF38" s="6" t="n">
        <v>1900</v>
      </c>
      <c r="AG38" s="7" t="n">
        <f aca="false">IF(OR(AF38="",AF26=""),"",AF38/AF26-1)</f>
        <v>0.270903010033445</v>
      </c>
      <c r="AH38" s="10" t="n">
        <v>38.02</v>
      </c>
      <c r="AI38" s="13" t="n">
        <v>1.1768</v>
      </c>
      <c r="AJ38" s="8" t="n">
        <v>0.48</v>
      </c>
    </row>
    <row r="39" customFormat="false" ht="15" hidden="false" customHeight="false" outlineLevel="0" collapsed="false">
      <c r="A39" s="5" t="n">
        <v>44136</v>
      </c>
      <c r="B39" s="6" t="n">
        <v>3548.9925</v>
      </c>
      <c r="C39" s="7" t="n">
        <f aca="false">IF(OR(B39="",B27=""),"",B39/B27-1)</f>
        <v>0.143027909554062</v>
      </c>
      <c r="D39" s="8" t="n">
        <v>0.87</v>
      </c>
      <c r="E39" s="8" t="n">
        <v>0.1174</v>
      </c>
      <c r="F39" s="8" t="n">
        <v>0.09</v>
      </c>
      <c r="G39" s="9" t="n">
        <f aca="false">IF(OR(D39="",E39=""),"",D39-E39)</f>
        <v>0.7526</v>
      </c>
      <c r="H39" s="10" t="n">
        <v>260.229</v>
      </c>
      <c r="I39" s="7" t="n">
        <f aca="false">IF(OR(H39="",H27=""),"",H39/H27-1)</f>
        <v>0.0117453578426796</v>
      </c>
      <c r="J39" s="10" t="n">
        <v>6.7</v>
      </c>
      <c r="K39" s="8" t="n">
        <v>3.57</v>
      </c>
      <c r="L39" s="11" t="n">
        <v>22087.16</v>
      </c>
      <c r="M39" s="7" t="n">
        <f aca="false">IF(OR(L39="",L27=""),"",L39/L27-1)</f>
        <v>0.00701871503847329</v>
      </c>
      <c r="N39" s="12" t="n">
        <v>125.6286</v>
      </c>
      <c r="O39" s="11" t="n">
        <v>516.711</v>
      </c>
      <c r="P39" s="7" t="n">
        <f aca="false">IF(OR(O39="",L39="",L39=0),"",O39/L39)</f>
        <v>0.0233941801481041</v>
      </c>
      <c r="Q39" s="6" t="n">
        <v>19002.4</v>
      </c>
      <c r="R39" s="7" t="n">
        <f aca="false">IF(OR(Q39="",Q27=""),"",Q39/Q27-1)</f>
        <v>0.24188140876919</v>
      </c>
      <c r="S39" s="8" t="n">
        <v>7.1981</v>
      </c>
      <c r="T39" s="10" t="n">
        <v>97.0816</v>
      </c>
      <c r="U39" s="7" t="n">
        <f aca="false">IF(OR(T39="",T27=""),"",T39/T27-1)</f>
        <v>-0.0476332487060662</v>
      </c>
      <c r="V39" s="6" t="n">
        <v>534539</v>
      </c>
      <c r="W39" s="7" t="n">
        <f aca="false">IF(OR(V39="",V27=""),"",V39/V27-1)</f>
        <v>0.0386476996943548</v>
      </c>
      <c r="X39" s="6" t="n">
        <v>14701.6</v>
      </c>
      <c r="Y39" s="7" t="n">
        <f aca="false">IF(OR(X39="",X27=""),"",X39/X27-1)</f>
        <v>-0.000638977635782689</v>
      </c>
      <c r="Z39" s="6" t="n">
        <v>16381.8</v>
      </c>
      <c r="AA39" s="7" t="n">
        <f aca="false">IF(OR(Z39="",Z27=""),"",Z39/Z27-1)</f>
        <v>0.0389994228415225</v>
      </c>
      <c r="AB39" s="10" t="n">
        <v>232.259</v>
      </c>
      <c r="AC39" s="7" t="n">
        <f aca="false">IF(OR(AB39="",AB27=""),"",AB39/AB27-1)</f>
        <v>0.0952358497239028</v>
      </c>
      <c r="AD39" s="8" t="n">
        <v>42.69</v>
      </c>
      <c r="AE39" s="8" t="n">
        <v>40.9374</v>
      </c>
      <c r="AF39" s="6" t="n">
        <v>1866</v>
      </c>
      <c r="AG39" s="7" t="n">
        <f aca="false">IF(OR(AF39="",AF27=""),"",AF39/AF27-1)</f>
        <v>0.268524813052345</v>
      </c>
      <c r="AH39" s="10" t="n">
        <v>20.57</v>
      </c>
      <c r="AI39" s="13" t="n">
        <v>1.1826</v>
      </c>
      <c r="AJ39" s="8" t="n">
        <v>0.46</v>
      </c>
    </row>
    <row r="40" customFormat="false" ht="15" hidden="false" customHeight="false" outlineLevel="0" collapsed="false">
      <c r="A40" s="5" t="n">
        <v>44166</v>
      </c>
      <c r="B40" s="6" t="n">
        <v>3695.31</v>
      </c>
      <c r="C40" s="7" t="n">
        <f aca="false">IF(OR(B40="",B28=""),"",B40/B28-1)</f>
        <v>0.163236194733013</v>
      </c>
      <c r="D40" s="8" t="n">
        <v>0.93</v>
      </c>
      <c r="E40" s="8" t="n">
        <v>0.1005</v>
      </c>
      <c r="F40" s="8" t="n">
        <v>0.09</v>
      </c>
      <c r="G40" s="9" t="n">
        <f aca="false">IF(OR(D40="",E40=""),"",D40-E40)</f>
        <v>0.8295</v>
      </c>
      <c r="H40" s="10" t="n">
        <v>260.474</v>
      </c>
      <c r="I40" s="7" t="n">
        <f aca="false">IF(OR(H40="",H28=""),"",H40/H28-1)</f>
        <v>0.0136200549471932</v>
      </c>
      <c r="J40" s="10" t="n">
        <v>6.7</v>
      </c>
      <c r="K40" s="8" t="n">
        <v>3.2</v>
      </c>
      <c r="L40" s="11" t="n">
        <v>22087.16</v>
      </c>
      <c r="M40" s="7" t="n">
        <f aca="false">IF(OR(L40="",L28=""),"",L40/L28-1)</f>
        <v>0.00701871503847329</v>
      </c>
      <c r="N40" s="12" t="n">
        <v>125.6286</v>
      </c>
      <c r="O40" s="11" t="n">
        <v>516.711</v>
      </c>
      <c r="P40" s="7" t="n">
        <f aca="false">IF(OR(O40="",L40="",L40=0),"",O40/L40)</f>
        <v>0.0233941801481041</v>
      </c>
      <c r="Q40" s="6" t="n">
        <v>19119.4</v>
      </c>
      <c r="R40" s="7" t="n">
        <f aca="false">IF(OR(Q40="",Q28=""),"",Q40/Q28-1)</f>
        <v>0.245441813503567</v>
      </c>
      <c r="S40" s="8" t="n">
        <v>7.319</v>
      </c>
      <c r="T40" s="10" t="n">
        <v>98.363</v>
      </c>
      <c r="U40" s="7" t="n">
        <f aca="false">IF(OR(T40="",T28=""),"",T40/T28-1)</f>
        <v>-0.0328150457766595</v>
      </c>
      <c r="V40" s="6" t="n">
        <v>539422</v>
      </c>
      <c r="W40" s="7" t="n">
        <f aca="false">IF(OR(V40="",V28=""),"",V40/V28-1)</f>
        <v>0.0448386803106109</v>
      </c>
      <c r="X40" s="6" t="n">
        <v>14822</v>
      </c>
      <c r="Y40" s="7" t="n">
        <f aca="false">IF(OR(X40="",X28=""),"",X40/X28-1)</f>
        <v>0.00319462869209741</v>
      </c>
      <c r="Z40" s="6" t="n">
        <v>16397.7</v>
      </c>
      <c r="AA40" s="7" t="n">
        <f aca="false">IF(OR(Z40="",Z28=""),"",Z40/Z28-1)</f>
        <v>0.0455183055126946</v>
      </c>
      <c r="AB40" s="10" t="n">
        <v>234.308</v>
      </c>
      <c r="AC40" s="7" t="n">
        <f aca="false">IF(OR(AB40="",AB28=""),"",AB40/AB28-1)</f>
        <v>0.10421595332573</v>
      </c>
      <c r="AD40" s="8" t="n">
        <v>49.99</v>
      </c>
      <c r="AE40" s="8" t="n">
        <v>47.025</v>
      </c>
      <c r="AF40" s="6" t="n">
        <v>1858</v>
      </c>
      <c r="AG40" s="7" t="n">
        <f aca="false">IF(OR(AF40="",AF28=""),"",AF40/AF28-1)</f>
        <v>0.256254225828262</v>
      </c>
      <c r="AH40" s="10" t="n">
        <v>22.75</v>
      </c>
      <c r="AI40" s="13" t="n">
        <v>1.2168</v>
      </c>
      <c r="AJ40" s="8" t="n">
        <v>0.42</v>
      </c>
    </row>
    <row r="41" customFormat="false" ht="15" hidden="false" customHeight="false" outlineLevel="0" collapsed="false">
      <c r="A41" s="5" t="n">
        <v>44197</v>
      </c>
      <c r="B41" s="6" t="n">
        <v>3793.7484</v>
      </c>
      <c r="C41" s="7" t="n">
        <f aca="false">IF(OR(B41="",B29=""),"",B41/B29-1)</f>
        <v>0.157264670835353</v>
      </c>
      <c r="D41" s="8" t="n">
        <v>1.08</v>
      </c>
      <c r="E41" s="8" t="n">
        <v>0.1005</v>
      </c>
      <c r="F41" s="8" t="n">
        <v>0.09</v>
      </c>
      <c r="G41" s="9" t="n">
        <f aca="false">IF(OR(D41="",E41=""),"",D41-E41)</f>
        <v>0.9795</v>
      </c>
      <c r="H41" s="10" t="n">
        <v>261.582</v>
      </c>
      <c r="I41" s="7" t="n">
        <f aca="false">IF(OR(H41="",H29=""),"",H41/H29-1)</f>
        <v>0.0139976974156009</v>
      </c>
      <c r="J41" s="10" t="n">
        <v>6.4</v>
      </c>
      <c r="K41" s="8" t="n">
        <v>3.03</v>
      </c>
      <c r="L41" s="11" t="n">
        <v>22704.65</v>
      </c>
      <c r="M41" s="7" t="n">
        <f aca="false">IF(OR(L41="",L29=""),"",L41/L29-1)</f>
        <v>0.0438325395547601</v>
      </c>
      <c r="N41" s="12" t="n">
        <v>124.0375</v>
      </c>
      <c r="O41" s="11" t="n">
        <v>532.362</v>
      </c>
      <c r="P41" s="7" t="n">
        <f aca="false">IF(OR(O41="",L41="",L41=0),"",O41/L41)</f>
        <v>0.0234472674099799</v>
      </c>
      <c r="Q41" s="6" t="n">
        <v>19375.3</v>
      </c>
      <c r="R41" s="7" t="n">
        <f aca="false">IF(OR(Q41="",Q29=""),"",Q41/Q29-1)</f>
        <v>0.256097244732577</v>
      </c>
      <c r="S41" s="8" t="n">
        <v>7.3722</v>
      </c>
      <c r="T41" s="10" t="n">
        <v>98.8822</v>
      </c>
      <c r="U41" s="7" t="n">
        <f aca="false">IF(OR(T41="",T29=""),"",T41/T29-1)</f>
        <v>-0.0212958435691818</v>
      </c>
      <c r="V41" s="6" t="n">
        <v>559736</v>
      </c>
      <c r="W41" s="7" t="n">
        <f aca="false">IF(OR(V41="",V29=""),"",V41/V29-1)</f>
        <v>0.085986686508206</v>
      </c>
      <c r="X41" s="6" t="n">
        <v>15072.4</v>
      </c>
      <c r="Y41" s="7" t="n">
        <f aca="false">IF(OR(X41="",X29=""),"",X41/X29-1)</f>
        <v>0.0137271914072221</v>
      </c>
      <c r="Z41" s="6" t="n">
        <v>18207.3</v>
      </c>
      <c r="AA41" s="7" t="n">
        <f aca="false">IF(OR(Z41="",Z29=""),"",Z41/Z29-1)</f>
        <v>0.149247607746106</v>
      </c>
      <c r="AB41" s="10" t="n">
        <v>236.383</v>
      </c>
      <c r="AC41" s="7" t="n">
        <f aca="false">IF(OR(AB41="",AB29=""),"",AB41/AB29-1)</f>
        <v>0.113150149513786</v>
      </c>
      <c r="AD41" s="8" t="n">
        <v>54.77</v>
      </c>
      <c r="AE41" s="8" t="n">
        <v>52.0084</v>
      </c>
      <c r="AF41" s="6" t="n">
        <v>1867</v>
      </c>
      <c r="AG41" s="7" t="n">
        <f aca="false">IF(OR(AF41="",AF29=""),"",AF41/AF29-1)</f>
        <v>0.196028187059577</v>
      </c>
      <c r="AH41" s="10" t="n">
        <v>33.09</v>
      </c>
      <c r="AI41" s="13" t="n">
        <v>1.2178</v>
      </c>
      <c r="AJ41" s="8" t="n">
        <v>0.37</v>
      </c>
    </row>
    <row r="42" customFormat="false" ht="15" hidden="false" customHeight="false" outlineLevel="0" collapsed="false">
      <c r="A42" s="5" t="n">
        <v>44228</v>
      </c>
      <c r="B42" s="6" t="n">
        <v>3883.4321</v>
      </c>
      <c r="C42" s="7" t="n">
        <f aca="false">IF(OR(B42="",B30=""),"",B42/B30-1)</f>
        <v>0.184943482074438</v>
      </c>
      <c r="D42" s="8" t="n">
        <v>1.26</v>
      </c>
      <c r="E42" s="8" t="n">
        <v>0.0726</v>
      </c>
      <c r="F42" s="8" t="n">
        <v>0.08</v>
      </c>
      <c r="G42" s="9" t="n">
        <f aca="false">IF(OR(D42="",E42=""),"",D42-E42)</f>
        <v>1.1874</v>
      </c>
      <c r="H42" s="10" t="n">
        <v>263.014</v>
      </c>
      <c r="I42" s="7" t="n">
        <f aca="false">IF(OR(H42="",H30=""),"",H42/H30-1)</f>
        <v>0.0167621521737451</v>
      </c>
      <c r="J42" s="10" t="n">
        <v>6.2</v>
      </c>
      <c r="K42" s="8" t="n">
        <v>2.87</v>
      </c>
      <c r="L42" s="11" t="n">
        <v>22704.65</v>
      </c>
      <c r="M42" s="7" t="n">
        <f aca="false">IF(OR(L42="",L30=""),"",L42/L30-1)</f>
        <v>0.0438325395547601</v>
      </c>
      <c r="N42" s="12" t="n">
        <v>124.0375</v>
      </c>
      <c r="O42" s="11" t="n">
        <v>532.362</v>
      </c>
      <c r="P42" s="7" t="n">
        <f aca="false">IF(OR(O42="",L42="",L42=0),"",O42/L42)</f>
        <v>0.0234472674099799</v>
      </c>
      <c r="Q42" s="6" t="n">
        <v>19641.4</v>
      </c>
      <c r="R42" s="7" t="n">
        <f aca="false">IF(OR(Q42="",Q30=""),"",Q42/Q30-1)</f>
        <v>0.26777599917381</v>
      </c>
      <c r="S42" s="8" t="n">
        <v>7.5001</v>
      </c>
      <c r="T42" s="10" t="n">
        <v>95.6149</v>
      </c>
      <c r="U42" s="7" t="n">
        <f aca="false">IF(OR(T42="",T30=""),"",T42/T30-1)</f>
        <v>-0.0568057727118034</v>
      </c>
      <c r="V42" s="6" t="n">
        <v>545417</v>
      </c>
      <c r="W42" s="7" t="n">
        <f aca="false">IF(OR(V42="",V30=""),"",V42/V30-1)</f>
        <v>0.0574195424583173</v>
      </c>
      <c r="X42" s="6" t="n">
        <v>14974.1</v>
      </c>
      <c r="Y42" s="7" t="n">
        <f aca="false">IF(OR(X42="",X30=""),"",X42/X30-1)</f>
        <v>0.00984617044665193</v>
      </c>
      <c r="Z42" s="6" t="n">
        <v>16695.6</v>
      </c>
      <c r="AA42" s="7" t="n">
        <f aca="false">IF(OR(Z42="",Z30=""),"",Z42/Z30-1)</f>
        <v>0.0500179241901095</v>
      </c>
      <c r="AB42" s="10" t="n">
        <v>239.166</v>
      </c>
      <c r="AC42" s="7" t="n">
        <f aca="false">IF(OR(AB42="",AB30=""),"",AB42/AB30-1)</f>
        <v>0.121923302451038</v>
      </c>
      <c r="AD42" s="8" t="n">
        <v>62.28</v>
      </c>
      <c r="AE42" s="8" t="n">
        <v>59.0463</v>
      </c>
      <c r="AF42" s="6" t="n">
        <v>1808</v>
      </c>
      <c r="AG42" s="7" t="n">
        <f aca="false">IF(OR(AF42="",AF30=""),"",AF42/AF30-1)</f>
        <v>0.132122730118973</v>
      </c>
      <c r="AH42" s="10" t="n">
        <v>27.95</v>
      </c>
      <c r="AI42" s="13" t="n">
        <v>1.2094</v>
      </c>
      <c r="AJ42" s="8" t="n">
        <v>0.35</v>
      </c>
    </row>
    <row r="43" customFormat="false" ht="15" hidden="false" customHeight="false" outlineLevel="0" collapsed="false">
      <c r="A43" s="5" t="n">
        <v>44256</v>
      </c>
      <c r="B43" s="6" t="n">
        <v>3910.5083</v>
      </c>
      <c r="C43" s="7" t="n">
        <f aca="false">IF(OR(B43="",B31=""),"",B43/B31-1)</f>
        <v>0.474331826166373</v>
      </c>
      <c r="D43" s="8" t="n">
        <v>1.61</v>
      </c>
      <c r="E43" s="8" t="n">
        <v>0.0757</v>
      </c>
      <c r="F43" s="8" t="n">
        <v>0.07</v>
      </c>
      <c r="G43" s="9" t="n">
        <f aca="false">IF(OR(D43="",E43=""),"",D43-E43)</f>
        <v>1.5343</v>
      </c>
      <c r="H43" s="10" t="n">
        <v>264.877</v>
      </c>
      <c r="I43" s="7" t="n">
        <f aca="false">IF(OR(H43="",H31=""),"",H43/H31-1)</f>
        <v>0.0261976250895919</v>
      </c>
      <c r="J43" s="10" t="n">
        <v>6.1</v>
      </c>
      <c r="K43" s="8" t="n">
        <v>2.4</v>
      </c>
      <c r="L43" s="11" t="n">
        <v>22704.65</v>
      </c>
      <c r="M43" s="7" t="n">
        <f aca="false">IF(OR(L43="",L31=""),"",L43/L31-1)</f>
        <v>0.0438325395547601</v>
      </c>
      <c r="N43" s="12" t="n">
        <v>124.0375</v>
      </c>
      <c r="O43" s="11" t="n">
        <v>532.362</v>
      </c>
      <c r="P43" s="7" t="n">
        <f aca="false">IF(OR(O43="",L43="",L43=0),"",O43/L43)</f>
        <v>0.0234472674099799</v>
      </c>
      <c r="Q43" s="6" t="n">
        <v>19874.5</v>
      </c>
      <c r="R43" s="7" t="n">
        <f aca="false">IF(OR(Q43="",Q31=""),"",Q43/Q31-1)</f>
        <v>0.239491343611236</v>
      </c>
      <c r="S43" s="8" t="n">
        <v>7.6479</v>
      </c>
      <c r="T43" s="10" t="n">
        <v>98.3856</v>
      </c>
      <c r="U43" s="7" t="n">
        <f aca="false">IF(OR(T43="",T31=""),"",T43/T31-1)</f>
        <v>0.0100382104923835</v>
      </c>
      <c r="V43" s="6" t="n">
        <v>603580</v>
      </c>
      <c r="W43" s="7" t="n">
        <f aca="false">IF(OR(V43="",V31=""),"",V43/V31-1)</f>
        <v>0.287961556189078</v>
      </c>
      <c r="X43" s="6" t="n">
        <v>15706.8</v>
      </c>
      <c r="Y43" s="7" t="n">
        <f aca="false">IF(OR(X43="",X31=""),"",X43/X31-1)</f>
        <v>0.137119193791266</v>
      </c>
      <c r="Z43" s="6" t="n">
        <v>20510.3</v>
      </c>
      <c r="AA43" s="7" t="n">
        <f aca="false">IF(OR(Z43="",Z31=""),"",Z43/Z31-1)</f>
        <v>0.30619718130465</v>
      </c>
      <c r="AB43" s="10" t="n">
        <v>244.166</v>
      </c>
      <c r="AC43" s="7" t="n">
        <f aca="false">IF(OR(AB43="",AB31=""),"",AB43/AB31-1)</f>
        <v>0.134858773605514</v>
      </c>
      <c r="AD43" s="8" t="n">
        <v>65.41</v>
      </c>
      <c r="AE43" s="8" t="n">
        <v>62.333</v>
      </c>
      <c r="AF43" s="6" t="n">
        <v>1718</v>
      </c>
      <c r="AG43" s="7" t="n">
        <f aca="false">IF(OR(AF43="",AF31=""),"",AF43/AF31-1)</f>
        <v>0.079145728643216</v>
      </c>
      <c r="AH43" s="10" t="n">
        <v>19.4</v>
      </c>
      <c r="AI43" s="13" t="n">
        <v>1.1902</v>
      </c>
      <c r="AJ43" s="8" t="n">
        <v>0.44</v>
      </c>
    </row>
    <row r="44" customFormat="false" ht="15" hidden="false" customHeight="false" outlineLevel="0" collapsed="false">
      <c r="A44" s="5" t="n">
        <v>44287</v>
      </c>
      <c r="B44" s="6" t="n">
        <v>4141.1762</v>
      </c>
      <c r="C44" s="7" t="n">
        <f aca="false">IF(OR(B44="",B32=""),"",B44/B32-1)</f>
        <v>0.499353144083263</v>
      </c>
      <c r="D44" s="8" t="n">
        <v>1.64</v>
      </c>
      <c r="E44" s="8" t="n">
        <v>0.0609</v>
      </c>
      <c r="F44" s="8" t="n">
        <v>0.07</v>
      </c>
      <c r="G44" s="9" t="n">
        <f aca="false">IF(OR(D44="",E44=""),"",D44-E44)</f>
        <v>1.5791</v>
      </c>
      <c r="H44" s="10" t="n">
        <v>267.054</v>
      </c>
      <c r="I44" s="7" t="n">
        <f aca="false">IF(OR(H44="",H32=""),"",H44/H32-1)</f>
        <v>0.0415969483870211</v>
      </c>
      <c r="J44" s="10" t="n">
        <v>6.1</v>
      </c>
      <c r="K44" s="8" t="n">
        <v>-0.1</v>
      </c>
      <c r="L44" s="11" t="n">
        <v>23456.708</v>
      </c>
      <c r="M44" s="7" t="n">
        <f aca="false">IF(OR(L44="",L32=""),"",L44/L32-1)</f>
        <v>0.175286401025017</v>
      </c>
      <c r="N44" s="12" t="n">
        <v>121.7858</v>
      </c>
      <c r="O44" s="11" t="n">
        <v>559.508</v>
      </c>
      <c r="P44" s="7" t="n">
        <f aca="false">IF(OR(O44="",L44="",L44=0),"",O44/L44)</f>
        <v>0.0238527929835679</v>
      </c>
      <c r="Q44" s="6" t="n">
        <v>20174.1</v>
      </c>
      <c r="R44" s="7" t="n">
        <f aca="false">IF(OR(Q44="",Q32=""),"",Q44/Q32-1)</f>
        <v>0.182260900140647</v>
      </c>
      <c r="S44" s="8" t="n">
        <v>7.776</v>
      </c>
      <c r="T44" s="10" t="n">
        <v>98.5587</v>
      </c>
      <c r="U44" s="7" t="n">
        <f aca="false">IF(OR(T44="",T32=""),"",T44/T32-1)</f>
        <v>0.16552135181447</v>
      </c>
      <c r="V44" s="6" t="n">
        <v>609247</v>
      </c>
      <c r="W44" s="7" t="n">
        <f aca="false">IF(OR(V44="",V32=""),"",V44/V32-1)</f>
        <v>0.514948142143491</v>
      </c>
      <c r="X44" s="6" t="n">
        <v>15913.9</v>
      </c>
      <c r="Y44" s="7" t="n">
        <f aca="false">IF(OR(X44="",X32=""),"",X44/X32-1)</f>
        <v>0.299178721875714</v>
      </c>
      <c r="Z44" s="6" t="n">
        <v>17406.3</v>
      </c>
      <c r="AA44" s="7" t="n">
        <f aca="false">IF(OR(Z44="",Z32=""),"",Z44/Z32-1)</f>
        <v>-0.0338045994238231</v>
      </c>
      <c r="AB44" s="10" t="n">
        <v>249.776</v>
      </c>
      <c r="AC44" s="7" t="n">
        <f aca="false">IF(OR(AB44="",AB32=""),"",AB44/AB32-1)</f>
        <v>0.150002762481814</v>
      </c>
      <c r="AD44" s="8" t="n">
        <v>64.81</v>
      </c>
      <c r="AE44" s="8" t="n">
        <v>61.7167</v>
      </c>
      <c r="AF44" s="6" t="n">
        <v>1760</v>
      </c>
      <c r="AG44" s="7" t="n">
        <f aca="false">IF(OR(AF44="",AF32=""),"",AF44/AF32-1)</f>
        <v>0.0457516339869282</v>
      </c>
      <c r="AH44" s="10" t="n">
        <v>18.61</v>
      </c>
      <c r="AI44" s="13" t="n">
        <v>1.1965</v>
      </c>
      <c r="AJ44" s="8" t="n">
        <v>0.41</v>
      </c>
    </row>
    <row r="45" customFormat="false" ht="15" hidden="false" customHeight="false" outlineLevel="0" collapsed="false">
      <c r="A45" s="5" t="n">
        <v>44317</v>
      </c>
      <c r="B45" s="6" t="n">
        <v>4167.8495</v>
      </c>
      <c r="C45" s="7" t="n">
        <f aca="false">IF(OR(B45="",B33=""),"",B45/B33-1)</f>
        <v>0.427533938550117</v>
      </c>
      <c r="D45" s="8" t="n">
        <v>1.62</v>
      </c>
      <c r="E45" s="8" t="n">
        <v>0.0505</v>
      </c>
      <c r="F45" s="8" t="n">
        <v>0.06</v>
      </c>
      <c r="G45" s="9" t="n">
        <f aca="false">IF(OR(D45="",E45=""),"",D45-E45)</f>
        <v>1.5695</v>
      </c>
      <c r="H45" s="10" t="n">
        <v>269.195</v>
      </c>
      <c r="I45" s="7" t="n">
        <f aca="false">IF(OR(H45="",H33=""),"",H45/H33-1)</f>
        <v>0.0499270653759447</v>
      </c>
      <c r="J45" s="10" t="n">
        <v>5.8</v>
      </c>
      <c r="K45" s="8" t="n">
        <v>-0.13</v>
      </c>
      <c r="L45" s="11" t="n">
        <v>23456.708</v>
      </c>
      <c r="M45" s="7" t="n">
        <f aca="false">IF(OR(L45="",L33=""),"",L45/L33-1)</f>
        <v>0.175286401025017</v>
      </c>
      <c r="N45" s="12" t="n">
        <v>121.7858</v>
      </c>
      <c r="O45" s="11" t="n">
        <v>559.508</v>
      </c>
      <c r="P45" s="7" t="n">
        <f aca="false">IF(OR(O45="",L45="",L45=0),"",O45/L45)</f>
        <v>0.0238527929835679</v>
      </c>
      <c r="Q45" s="6" t="n">
        <v>20457.5</v>
      </c>
      <c r="R45" s="7" t="n">
        <f aca="false">IF(OR(Q45="",Q33=""),"",Q45/Q33-1)</f>
        <v>0.14084397080064</v>
      </c>
      <c r="S45" s="8" t="n">
        <v>7.8669</v>
      </c>
      <c r="T45" s="10" t="n">
        <v>99.4333</v>
      </c>
      <c r="U45" s="7" t="n">
        <f aca="false">IF(OR(T45="",T33=""),"",T45/T33-1)</f>
        <v>0.156733798353661</v>
      </c>
      <c r="V45" s="6" t="n">
        <v>605589</v>
      </c>
      <c r="W45" s="7" t="n">
        <f aca="false">IF(OR(V45="",V33=""),"",V45/V33-1)</f>
        <v>0.260971232009595</v>
      </c>
      <c r="X45" s="6" t="n">
        <v>15969.5</v>
      </c>
      <c r="Y45" s="7" t="n">
        <f aca="false">IF(OR(X45="",X33=""),"",X45/X33-1)</f>
        <v>0.202386778601815</v>
      </c>
      <c r="Z45" s="6" t="n">
        <v>16916.5</v>
      </c>
      <c r="AA45" s="7" t="n">
        <f aca="false">IF(OR(Z45="",Z33=""),"",Z45/Z33-1)</f>
        <v>-0.0113091759205143</v>
      </c>
      <c r="AB45" s="10" t="n">
        <v>255.399</v>
      </c>
      <c r="AC45" s="7" t="n">
        <f aca="false">IF(OR(AB45="",AB33=""),"",AB45/AB33-1)</f>
        <v>0.169173792825621</v>
      </c>
      <c r="AD45" s="8" t="n">
        <v>68.53</v>
      </c>
      <c r="AE45" s="8" t="n">
        <v>65.1695</v>
      </c>
      <c r="AF45" s="6" t="n">
        <v>1850</v>
      </c>
      <c r="AG45" s="7" t="n">
        <f aca="false">IF(OR(AF45="",AF33=""),"",AF45/AF33-1)</f>
        <v>0.0780885780885781</v>
      </c>
      <c r="AH45" s="10" t="n">
        <v>16.76</v>
      </c>
      <c r="AI45" s="13" t="n">
        <v>1.2146</v>
      </c>
      <c r="AJ45" s="8" t="n">
        <v>0.36</v>
      </c>
    </row>
    <row r="46" customFormat="false" ht="15" hidden="false" customHeight="false" outlineLevel="0" collapsed="false">
      <c r="A46" s="5" t="n">
        <v>44348</v>
      </c>
      <c r="B46" s="6" t="n">
        <v>4238.4895</v>
      </c>
      <c r="C46" s="7" t="n">
        <f aca="false">IF(OR(B46="",B34=""),"",B46/B34-1)</f>
        <v>0.365202074081585</v>
      </c>
      <c r="D46" s="8" t="n">
        <v>1.52</v>
      </c>
      <c r="E46" s="8" t="n">
        <v>0.0668</v>
      </c>
      <c r="F46" s="8" t="n">
        <v>0.08</v>
      </c>
      <c r="G46" s="9" t="n">
        <f aca="false">IF(OR(D46="",E46=""),"",D46-E46)</f>
        <v>1.4532</v>
      </c>
      <c r="H46" s="10" t="n">
        <v>271.696</v>
      </c>
      <c r="I46" s="7" t="n">
        <f aca="false">IF(OR(H46="",H34=""),"",H46/H34-1)</f>
        <v>0.0539145141332134</v>
      </c>
      <c r="J46" s="10" t="n">
        <v>5.9</v>
      </c>
      <c r="K46" s="8" t="n">
        <v>-0.07</v>
      </c>
      <c r="L46" s="11" t="n">
        <v>23456.708</v>
      </c>
      <c r="M46" s="7" t="n">
        <f aca="false">IF(OR(L46="",L34=""),"",L46/L34-1)</f>
        <v>0.175286401025017</v>
      </c>
      <c r="N46" s="12" t="n">
        <v>121.7858</v>
      </c>
      <c r="O46" s="11" t="n">
        <v>559.508</v>
      </c>
      <c r="P46" s="7" t="n">
        <f aca="false">IF(OR(O46="",L46="",L46=0),"",O46/L46)</f>
        <v>0.0238527929835679</v>
      </c>
      <c r="Q46" s="6" t="n">
        <v>20472.7</v>
      </c>
      <c r="R46" s="7" t="n">
        <f aca="false">IF(OR(Q46="",Q34=""),"",Q46/Q34-1)</f>
        <v>0.126111111111111</v>
      </c>
      <c r="S46" s="8" t="n">
        <v>8.0266</v>
      </c>
      <c r="T46" s="10" t="n">
        <v>99.7987</v>
      </c>
      <c r="U46" s="7" t="n">
        <f aca="false">IF(OR(T46="",T34=""),"",T46/T34-1)</f>
        <v>0.0895839656569142</v>
      </c>
      <c r="V46" s="6" t="n">
        <v>611711</v>
      </c>
      <c r="W46" s="7" t="n">
        <f aca="false">IF(OR(V46="",V34=""),"",V46/V34-1)</f>
        <v>0.178638453327373</v>
      </c>
      <c r="X46" s="6" t="n">
        <v>16185.5</v>
      </c>
      <c r="Y46" s="7" t="n">
        <f aca="false">IF(OR(X46="",X34=""),"",X46/X34-1)</f>
        <v>0.152058480198161</v>
      </c>
      <c r="Z46" s="6" t="n">
        <v>16839.3</v>
      </c>
      <c r="AA46" s="7" t="n">
        <f aca="false">IF(OR(Z46="",Z34=""),"",Z46/Z34-1)</f>
        <v>-0.0123693563711863</v>
      </c>
      <c r="AB46" s="10" t="n">
        <v>261.111</v>
      </c>
      <c r="AC46" s="7" t="n">
        <f aca="false">IF(OR(AB46="",AB34=""),"",AB46/AB34-1)</f>
        <v>0.188115703306654</v>
      </c>
      <c r="AD46" s="8" t="n">
        <v>73.16</v>
      </c>
      <c r="AE46" s="8" t="n">
        <v>71.3782</v>
      </c>
      <c r="AF46" s="6" t="n">
        <v>1835</v>
      </c>
      <c r="AG46" s="7" t="n">
        <f aca="false">IF(OR(AF46="",AF34=""),"",AF46/AF34-1)</f>
        <v>0.0594688221709008</v>
      </c>
      <c r="AH46" s="10" t="n">
        <v>15.83</v>
      </c>
      <c r="AI46" s="13" t="n">
        <v>1.2048</v>
      </c>
      <c r="AJ46" s="8" t="n">
        <v>0.42</v>
      </c>
    </row>
    <row r="47" customFormat="false" ht="15" hidden="false" customHeight="false" outlineLevel="0" collapsed="false">
      <c r="A47" s="5" t="n">
        <v>44378</v>
      </c>
      <c r="B47" s="6" t="n">
        <v>4363.7129</v>
      </c>
      <c r="C47" s="7" t="n">
        <f aca="false">IF(OR(B47="",B35=""),"",B47/B35-1)</f>
        <v>0.360421160978871</v>
      </c>
      <c r="D47" s="8" t="n">
        <v>1.32</v>
      </c>
      <c r="E47" s="8" t="n">
        <v>0.0757</v>
      </c>
      <c r="F47" s="8" t="n">
        <v>0.1</v>
      </c>
      <c r="G47" s="9" t="n">
        <f aca="false">IF(OR(D47="",E47=""),"",D47-E47)</f>
        <v>1.2443</v>
      </c>
      <c r="H47" s="10" t="n">
        <v>273.003</v>
      </c>
      <c r="I47" s="7" t="n">
        <f aca="false">IF(OR(H47="",H35=""),"",H47/H35-1)</f>
        <v>0.053654752393854</v>
      </c>
      <c r="J47" s="10" t="n">
        <v>5.4</v>
      </c>
      <c r="K47" s="8" t="n">
        <v>-0.23</v>
      </c>
      <c r="L47" s="11" t="n">
        <v>23998.844</v>
      </c>
      <c r="M47" s="7" t="n">
        <f aca="false">IF(OR(L47="",L35=""),"",L47/L35-1)</f>
        <v>0.105711426654375</v>
      </c>
      <c r="N47" s="12" t="n">
        <v>118.5409</v>
      </c>
      <c r="O47" s="11" t="n">
        <v>586.694</v>
      </c>
      <c r="P47" s="7" t="n">
        <f aca="false">IF(OR(O47="",L47="",L47=0),"",O47/L47)</f>
        <v>0.0244467608523144</v>
      </c>
      <c r="Q47" s="6" t="n">
        <v>20630</v>
      </c>
      <c r="R47" s="7" t="n">
        <f aca="false">IF(OR(Q47="",Q35=""),"",Q47/Q35-1)</f>
        <v>0.125391404911791</v>
      </c>
      <c r="S47" s="8" t="n">
        <v>8.1904</v>
      </c>
      <c r="T47" s="10" t="n">
        <v>100.2519</v>
      </c>
      <c r="U47" s="7" t="n">
        <f aca="false">IF(OR(T47="",T35=""),"",T47/T35-1)</f>
        <v>0.0549988634641614</v>
      </c>
      <c r="V47" s="6" t="n">
        <v>602014</v>
      </c>
      <c r="W47" s="7" t="n">
        <f aca="false">IF(OR(V47="",V35=""),"",V47/V35-1)</f>
        <v>0.142475964914278</v>
      </c>
      <c r="X47" s="6" t="n">
        <v>16236.2</v>
      </c>
      <c r="Y47" s="7" t="n">
        <f aca="false">IF(OR(X47="",X35=""),"",X47/X35-1)</f>
        <v>0.134827219861329</v>
      </c>
      <c r="Z47" s="6" t="n">
        <v>16968</v>
      </c>
      <c r="AA47" s="7" t="n">
        <f aca="false">IF(OR(Z47="",Z35=""),"",Z47/Z35-1)</f>
        <v>-0.0136546745025549</v>
      </c>
      <c r="AB47" s="10" t="n">
        <v>265.432</v>
      </c>
      <c r="AC47" s="7" t="n">
        <f aca="false">IF(OR(AB47="",AB35=""),"",AB47/AB35-1)</f>
        <v>0.198203363051574</v>
      </c>
      <c r="AD47" s="8" t="n">
        <v>75.17</v>
      </c>
      <c r="AE47" s="8" t="n">
        <v>72.4852</v>
      </c>
      <c r="AF47" s="6" t="n">
        <v>1808</v>
      </c>
      <c r="AG47" s="7" t="n">
        <f aca="false">IF(OR(AF47="",AF35=""),"",AF47/AF35-1)</f>
        <v>-0.0211153221440173</v>
      </c>
      <c r="AH47" s="10" t="n">
        <v>18.24</v>
      </c>
      <c r="AI47" s="13" t="n">
        <v>1.1821</v>
      </c>
      <c r="AJ47" s="8" t="n">
        <v>0.48</v>
      </c>
    </row>
    <row r="48" customFormat="false" ht="15" hidden="false" customHeight="false" outlineLevel="0" collapsed="false">
      <c r="A48" s="5" t="n">
        <v>44409</v>
      </c>
      <c r="B48" s="6" t="n">
        <v>4454.2064</v>
      </c>
      <c r="C48" s="7" t="n">
        <f aca="false">IF(OR(B48="",B36=""),"",B48/B36-1)</f>
        <v>0.313262749468557</v>
      </c>
      <c r="D48" s="8" t="n">
        <v>1.28</v>
      </c>
      <c r="E48" s="8" t="n">
        <v>0.0736</v>
      </c>
      <c r="F48" s="8" t="n">
        <v>0.09</v>
      </c>
      <c r="G48" s="9" t="n">
        <f aca="false">IF(OR(D48="",E48=""),"",D48-E48)</f>
        <v>1.2064</v>
      </c>
      <c r="H48" s="10" t="n">
        <v>273.567</v>
      </c>
      <c r="I48" s="7" t="n">
        <f aca="false">IF(OR(H48="",H36=""),"",H48/H36-1)</f>
        <v>0.0525127155487499</v>
      </c>
      <c r="J48" s="10" t="n">
        <v>5.1</v>
      </c>
      <c r="K48" s="8" t="n">
        <v>-0.23</v>
      </c>
      <c r="L48" s="11" t="n">
        <v>23998.844</v>
      </c>
      <c r="M48" s="7" t="n">
        <f aca="false">IF(OR(L48="",L36=""),"",L48/L36-1)</f>
        <v>0.105711426654375</v>
      </c>
      <c r="N48" s="12" t="n">
        <v>118.5409</v>
      </c>
      <c r="O48" s="11" t="n">
        <v>586.694</v>
      </c>
      <c r="P48" s="7" t="n">
        <f aca="false">IF(OR(O48="",L48="",L48=0),"",O48/L48)</f>
        <v>0.0244467608523144</v>
      </c>
      <c r="Q48" s="6" t="n">
        <v>20844</v>
      </c>
      <c r="R48" s="7" t="n">
        <f aca="false">IF(OR(Q48="",Q36=""),"",Q48/Q36-1)</f>
        <v>0.132007842157571</v>
      </c>
      <c r="S48" s="8" t="n">
        <v>8.2919</v>
      </c>
      <c r="T48" s="10" t="n">
        <v>100.0437</v>
      </c>
      <c r="U48" s="7" t="n">
        <f aca="false">IF(OR(T48="",T36=""),"",T48/T36-1)</f>
        <v>0.0426116852813145</v>
      </c>
      <c r="V48" s="6" t="n">
        <v>605419</v>
      </c>
      <c r="W48" s="7" t="n">
        <f aca="false">IF(OR(V48="",V36=""),"",V48/V36-1)</f>
        <v>0.140107981070357</v>
      </c>
      <c r="X48" s="6" t="n">
        <v>16404</v>
      </c>
      <c r="Y48" s="7" t="n">
        <f aca="false">IF(OR(X48="",X36=""),"",X48/X36-1)</f>
        <v>0.134267262242259</v>
      </c>
      <c r="Z48" s="6" t="n">
        <v>16950.2</v>
      </c>
      <c r="AA48" s="7" t="n">
        <f aca="false">IF(OR(Z48="",Z36=""),"",Z48/Z36-1)</f>
        <v>0.0246765808245679</v>
      </c>
      <c r="AB48" s="10" t="n">
        <v>268.698</v>
      </c>
      <c r="AC48" s="7" t="n">
        <f aca="false">IF(OR(AB48="",AB36=""),"",AB48/AB36-1)</f>
        <v>0.199528577742262</v>
      </c>
      <c r="AD48" s="8" t="n">
        <v>70.75</v>
      </c>
      <c r="AE48" s="8" t="n">
        <v>67.7305</v>
      </c>
      <c r="AF48" s="6" t="n">
        <v>1785</v>
      </c>
      <c r="AG48" s="7" t="n">
        <f aca="false">IF(OR(AF48="",AF36=""),"",AF48/AF36-1)</f>
        <v>-0.0934484509903505</v>
      </c>
      <c r="AH48" s="10" t="n">
        <v>16.48</v>
      </c>
      <c r="AI48" s="13" t="n">
        <v>1.1767</v>
      </c>
      <c r="AJ48" s="8" t="n">
        <v>0.5</v>
      </c>
    </row>
    <row r="49" customFormat="false" ht="15" hidden="false" customHeight="false" outlineLevel="0" collapsed="false">
      <c r="A49" s="5" t="n">
        <v>44440</v>
      </c>
      <c r="B49" s="6" t="n">
        <v>4445.5433</v>
      </c>
      <c r="C49" s="7" t="n">
        <f aca="false">IF(OR(B49="",B37=""),"",B49/B37-1)</f>
        <v>0.320909594654515</v>
      </c>
      <c r="D49" s="8" t="n">
        <v>1.37</v>
      </c>
      <c r="E49" s="8" t="n">
        <v>0.0771</v>
      </c>
      <c r="F49" s="8" t="n">
        <v>0.08</v>
      </c>
      <c r="G49" s="9" t="n">
        <f aca="false">IF(OR(D49="",E49=""),"",D49-E49)</f>
        <v>1.2929</v>
      </c>
      <c r="H49" s="10" t="n">
        <v>274.31</v>
      </c>
      <c r="I49" s="7" t="n">
        <f aca="false">IF(OR(H49="",H37=""),"",H49/H37-1)</f>
        <v>0.0539034885507916</v>
      </c>
      <c r="J49" s="10" t="n">
        <v>4.7</v>
      </c>
      <c r="K49" s="8" t="n">
        <v>-0.4</v>
      </c>
      <c r="L49" s="11" t="n">
        <v>23998.844</v>
      </c>
      <c r="M49" s="7" t="n">
        <f aca="false">IF(OR(L49="",L37=""),"",L49/L37-1)</f>
        <v>0.105711426654375</v>
      </c>
      <c r="N49" s="12" t="n">
        <v>118.5409</v>
      </c>
      <c r="O49" s="11" t="n">
        <v>586.694</v>
      </c>
      <c r="P49" s="7" t="n">
        <f aca="false">IF(OR(O49="",L49="",L49=0),"",O49/L49)</f>
        <v>0.0244467608523144</v>
      </c>
      <c r="Q49" s="6" t="n">
        <v>20985.4</v>
      </c>
      <c r="R49" s="7" t="n">
        <f aca="false">IF(OR(Q49="",Q37=""),"",Q49/Q37-1)</f>
        <v>0.127944101048106</v>
      </c>
      <c r="S49" s="8" t="n">
        <v>8.4186</v>
      </c>
      <c r="T49" s="10" t="n">
        <v>98.8579</v>
      </c>
      <c r="U49" s="7" t="n">
        <f aca="false">IF(OR(T49="",T37=""),"",T49/T37-1)</f>
        <v>0.0301249701720072</v>
      </c>
      <c r="V49" s="6" t="n">
        <v>610161</v>
      </c>
      <c r="W49" s="7" t="n">
        <f aca="false">IF(OR(V49="",V37=""),"",V49/V37-1)</f>
        <v>0.127336990361041</v>
      </c>
      <c r="X49" s="6" t="n">
        <v>16489.3</v>
      </c>
      <c r="Y49" s="7" t="n">
        <f aca="false">IF(OR(X49="",X37=""),"",X49/X37-1)</f>
        <v>0.124160593396554</v>
      </c>
      <c r="Z49" s="6" t="n">
        <v>16772.1</v>
      </c>
      <c r="AA49" s="7" t="n">
        <f aca="false">IF(OR(Z49="",Z37=""),"",Z49/Z37-1)</f>
        <v>0.00832045786565816</v>
      </c>
      <c r="AB49" s="10" t="n">
        <v>271.351</v>
      </c>
      <c r="AC49" s="7" t="n">
        <f aca="false">IF(OR(AB49="",AB37=""),"",AB49/AB37-1)</f>
        <v>0.196691525064939</v>
      </c>
      <c r="AD49" s="8" t="n">
        <v>74.49</v>
      </c>
      <c r="AE49" s="8" t="n">
        <v>71.6462</v>
      </c>
      <c r="AF49" s="6" t="n">
        <v>1775</v>
      </c>
      <c r="AG49" s="7" t="n">
        <f aca="false">IF(OR(AF49="",AF37=""),"",AF49/AF37-1)</f>
        <v>-0.0764828303850156</v>
      </c>
      <c r="AH49" s="10" t="n">
        <v>23.14</v>
      </c>
      <c r="AI49" s="13" t="n">
        <v>1.1765</v>
      </c>
      <c r="AJ49" s="8" t="n">
        <v>0.51</v>
      </c>
    </row>
    <row r="50" customFormat="false" ht="15" hidden="false" customHeight="false" outlineLevel="0" collapsed="false">
      <c r="A50" s="5" t="n">
        <v>44470</v>
      </c>
      <c r="B50" s="6" t="n">
        <v>4460.7071</v>
      </c>
      <c r="C50" s="7" t="n">
        <f aca="false">IF(OR(B50="",B38=""),"",B50/B38-1)</f>
        <v>0.304795762507951</v>
      </c>
      <c r="D50" s="8" t="n">
        <v>1.58</v>
      </c>
      <c r="E50" s="8" t="n">
        <v>0.113</v>
      </c>
      <c r="F50" s="8" t="n">
        <v>0.08</v>
      </c>
      <c r="G50" s="9" t="n">
        <f aca="false">IF(OR(D50="",E50=""),"",D50-E50)</f>
        <v>1.467</v>
      </c>
      <c r="H50" s="10" t="n">
        <v>276.589</v>
      </c>
      <c r="I50" s="7" t="n">
        <f aca="false">IF(OR(H50="",H38=""),"",H50/H38-1)</f>
        <v>0.062218689033289</v>
      </c>
      <c r="J50" s="10" t="n">
        <v>4.5</v>
      </c>
      <c r="K50" s="8" t="n">
        <v>-0.3</v>
      </c>
      <c r="L50" s="11" t="n">
        <v>24823.19</v>
      </c>
      <c r="M50" s="7" t="n">
        <f aca="false">IF(OR(L50="",L38=""),"",L50/L38-1)</f>
        <v>0.123874232812186</v>
      </c>
      <c r="N50" s="12" t="n">
        <v>119.3588</v>
      </c>
      <c r="O50" s="11" t="n">
        <v>610.825</v>
      </c>
      <c r="P50" s="7" t="n">
        <f aca="false">IF(OR(O50="",L50="",L50=0),"",O50/L50)</f>
        <v>0.024607030764378</v>
      </c>
      <c r="Q50" s="6" t="n">
        <v>21164.2</v>
      </c>
      <c r="R50" s="7" t="n">
        <f aca="false">IF(OR(Q50="",Q38=""),"",Q50/Q38-1)</f>
        <v>0.128161663974755</v>
      </c>
      <c r="S50" s="8" t="n">
        <v>8.5165</v>
      </c>
      <c r="T50" s="10" t="n">
        <v>100.1861</v>
      </c>
      <c r="U50" s="7" t="n">
        <f aca="false">IF(OR(T50="",T38=""),"",T50/T38-1)</f>
        <v>0.035628709708764</v>
      </c>
      <c r="V50" s="6" t="n">
        <v>619018</v>
      </c>
      <c r="W50" s="7" t="n">
        <f aca="false">IF(OR(V50="",V38=""),"",V50/V38-1)</f>
        <v>0.147457963293535</v>
      </c>
      <c r="X50" s="6" t="n">
        <v>16704.6</v>
      </c>
      <c r="Y50" s="7" t="n">
        <f aca="false">IF(OR(X50="",X38=""),"",X50/X38-1)</f>
        <v>0.134376400603023</v>
      </c>
      <c r="Z50" s="6" t="n">
        <v>16775.8</v>
      </c>
      <c r="AA50" s="7" t="n">
        <f aca="false">IF(OR(Z50="",Z38=""),"",Z50/Z38-1)</f>
        <v>0.0122001255007964</v>
      </c>
      <c r="AB50" s="10" t="n">
        <v>273.563</v>
      </c>
      <c r="AC50" s="7" t="n">
        <f aca="false">IF(OR(AB50="",AB38=""),"",AB50/AB38-1)</f>
        <v>0.190657126193647</v>
      </c>
      <c r="AD50" s="8" t="n">
        <v>83.54</v>
      </c>
      <c r="AE50" s="8" t="n">
        <v>81.4767</v>
      </c>
      <c r="AF50" s="6" t="n">
        <v>1777</v>
      </c>
      <c r="AG50" s="7" t="n">
        <f aca="false">IF(OR(AF50="",AF38=""),"",AF50/AF38-1)</f>
        <v>-0.0647368421052632</v>
      </c>
      <c r="AH50" s="10" t="n">
        <v>16.26</v>
      </c>
      <c r="AI50" s="13" t="n">
        <v>1.16</v>
      </c>
      <c r="AJ50" s="8" t="n">
        <v>0.68</v>
      </c>
    </row>
    <row r="51" customFormat="false" ht="15" hidden="false" customHeight="false" outlineLevel="0" collapsed="false">
      <c r="A51" s="5" t="n">
        <v>44501</v>
      </c>
      <c r="B51" s="6" t="n">
        <v>4667.3867</v>
      </c>
      <c r="C51" s="7" t="n">
        <f aca="false">IF(OR(B51="",B39=""),"",B51/B39-1)</f>
        <v>0.315130054515472</v>
      </c>
      <c r="D51" s="8" t="n">
        <v>1.56</v>
      </c>
      <c r="E51" s="8" t="n">
        <v>0.179</v>
      </c>
      <c r="F51" s="8" t="n">
        <v>0.08</v>
      </c>
      <c r="G51" s="9" t="n">
        <f aca="false">IF(OR(D51="",E51=""),"",D51-E51)</f>
        <v>1.381</v>
      </c>
      <c r="H51" s="10" t="n">
        <v>277.948</v>
      </c>
      <c r="I51" s="7" t="n">
        <f aca="false">IF(OR(H51="",H39=""),"",H51/H39-1)</f>
        <v>0.0680900283980648</v>
      </c>
      <c r="J51" s="10" t="n">
        <v>4.1</v>
      </c>
      <c r="K51" s="8" t="n">
        <v>-0.33</v>
      </c>
      <c r="L51" s="11" t="n">
        <v>24823.19</v>
      </c>
      <c r="M51" s="7" t="n">
        <f aca="false">IF(OR(L51="",L39=""),"",L51/L39-1)</f>
        <v>0.123874232812186</v>
      </c>
      <c r="N51" s="12" t="n">
        <v>119.3588</v>
      </c>
      <c r="O51" s="11" t="n">
        <v>610.825</v>
      </c>
      <c r="P51" s="7" t="n">
        <f aca="false">IF(OR(O51="",L51="",L51=0),"",O51/L51)</f>
        <v>0.024607030764378</v>
      </c>
      <c r="Q51" s="6" t="n">
        <v>21340.9</v>
      </c>
      <c r="R51" s="7" t="n">
        <f aca="false">IF(OR(Q51="",Q39=""),"",Q51/Q39-1)</f>
        <v>0.123063402517577</v>
      </c>
      <c r="S51" s="8" t="n">
        <v>8.6487</v>
      </c>
      <c r="T51" s="10" t="n">
        <v>100.8654</v>
      </c>
      <c r="U51" s="7" t="n">
        <f aca="false">IF(OR(T51="",T39=""),"",T51/T39-1)</f>
        <v>0.0389754598193683</v>
      </c>
      <c r="V51" s="6" t="n">
        <v>625980</v>
      </c>
      <c r="W51" s="7" t="n">
        <f aca="false">IF(OR(V51="",V39=""),"",V51/V39-1)</f>
        <v>0.171065160820819</v>
      </c>
      <c r="X51" s="6" t="n">
        <v>16842.5</v>
      </c>
      <c r="Y51" s="7" t="n">
        <f aca="false">IF(OR(X51="",X39=""),"",X51/X39-1)</f>
        <v>0.145623605593949</v>
      </c>
      <c r="Z51" s="6" t="n">
        <v>16727.1</v>
      </c>
      <c r="AA51" s="7" t="n">
        <f aca="false">IF(OR(Z51="",Z39=""),"",Z51/Z39-1)</f>
        <v>0.0210782697872027</v>
      </c>
      <c r="AB51" s="10" t="n">
        <v>275.934</v>
      </c>
      <c r="AC51" s="7" t="n">
        <f aca="false">IF(OR(AB51="",AB39=""),"",AB51/AB39-1)</f>
        <v>0.188044381487908</v>
      </c>
      <c r="AD51" s="8" t="n">
        <v>81.05</v>
      </c>
      <c r="AE51" s="8" t="n">
        <v>79.1475</v>
      </c>
      <c r="AF51" s="6" t="n">
        <v>1822</v>
      </c>
      <c r="AG51" s="7" t="n">
        <f aca="false">IF(OR(AF51="",AF39=""),"",AF51/AF39-1)</f>
        <v>-0.0235798499464094</v>
      </c>
      <c r="AH51" s="10" t="n">
        <v>27.19</v>
      </c>
      <c r="AI51" s="13" t="n">
        <v>1.1416</v>
      </c>
      <c r="AJ51" s="8" t="n">
        <v>0.86</v>
      </c>
    </row>
    <row r="52" customFormat="false" ht="15" hidden="false" customHeight="false" outlineLevel="0" collapsed="false">
      <c r="A52" s="5" t="n">
        <v>44531</v>
      </c>
      <c r="B52" s="6" t="n">
        <v>4674.7727</v>
      </c>
      <c r="C52" s="7" t="n">
        <f aca="false">IF(OR(B52="",B40=""),"",B52/B40-1)</f>
        <v>0.265055624561945</v>
      </c>
      <c r="D52" s="8" t="n">
        <v>1.47</v>
      </c>
      <c r="E52" s="8" t="n">
        <v>0.2991</v>
      </c>
      <c r="F52" s="8" t="n">
        <v>0.08</v>
      </c>
      <c r="G52" s="9" t="n">
        <f aca="false">IF(OR(D52="",E52=""),"",D52-E52)</f>
        <v>1.1709</v>
      </c>
      <c r="H52" s="10" t="n">
        <v>278.802</v>
      </c>
      <c r="I52" s="7" t="n">
        <f aca="false">IF(OR(H52="",H40=""),"",H52/H40-1)</f>
        <v>0.0703640286554514</v>
      </c>
      <c r="J52" s="10" t="n">
        <v>3.9</v>
      </c>
      <c r="K52" s="8" t="n">
        <v>-0.27</v>
      </c>
      <c r="L52" s="11" t="n">
        <v>24823.19</v>
      </c>
      <c r="M52" s="7" t="n">
        <f aca="false">IF(OR(L52="",L40=""),"",L52/L40-1)</f>
        <v>0.123874232812186</v>
      </c>
      <c r="N52" s="12" t="n">
        <v>119.3588</v>
      </c>
      <c r="O52" s="11" t="n">
        <v>610.825</v>
      </c>
      <c r="P52" s="7" t="n">
        <f aca="false">IF(OR(O52="",L52="",L52=0),"",O52/L52)</f>
        <v>0.024607030764378</v>
      </c>
      <c r="Q52" s="6" t="n">
        <v>21502.8</v>
      </c>
      <c r="R52" s="7" t="n">
        <f aca="false">IF(OR(Q52="",Q40=""),"",Q52/Q40-1)</f>
        <v>0.124658723600113</v>
      </c>
      <c r="S52" s="8" t="n">
        <v>8.7239</v>
      </c>
      <c r="T52" s="10" t="n">
        <v>100.5726</v>
      </c>
      <c r="U52" s="7" t="n">
        <f aca="false">IF(OR(T52="",T40=""),"",T52/T40-1)</f>
        <v>0.0224637312810712</v>
      </c>
      <c r="V52" s="6" t="n">
        <v>621734</v>
      </c>
      <c r="W52" s="7" t="n">
        <f aca="false">IF(OR(V52="",V40=""),"",V52/V40-1)</f>
        <v>0.152592960613397</v>
      </c>
      <c r="X52" s="6" t="n">
        <v>16879.2</v>
      </c>
      <c r="Y52" s="7" t="n">
        <f aca="false">IF(OR(X52="",X40=""),"",X52/X40-1)</f>
        <v>0.138793685062745</v>
      </c>
      <c r="Z52" s="6" t="n">
        <v>16647.1</v>
      </c>
      <c r="AA52" s="7" t="n">
        <f aca="false">IF(OR(Z52="",Z40=""),"",Z52/Z40-1)</f>
        <v>0.0152094501058073</v>
      </c>
      <c r="AB52" s="10" t="n">
        <v>278.508</v>
      </c>
      <c r="AC52" s="7" t="n">
        <f aca="false">IF(OR(AB52="",AB40=""),"",AB52/AB40-1)</f>
        <v>0.188640592724107</v>
      </c>
      <c r="AD52" s="8" t="n">
        <v>74.17</v>
      </c>
      <c r="AE52" s="8" t="n">
        <v>71.7118</v>
      </c>
      <c r="AF52" s="6" t="n">
        <v>1790</v>
      </c>
      <c r="AG52" s="7" t="n">
        <f aca="false">IF(OR(AF52="",AF40=""),"",AF52/AF40-1)</f>
        <v>-0.0365984930032293</v>
      </c>
      <c r="AH52" s="10" t="n">
        <v>17.22</v>
      </c>
      <c r="AI52" s="13" t="n">
        <v>1.1301</v>
      </c>
      <c r="AJ52" s="8" t="n">
        <v>1.06</v>
      </c>
    </row>
    <row r="53" customFormat="false" ht="15" hidden="false" customHeight="false" outlineLevel="0" collapsed="false">
      <c r="A53" s="5" t="n">
        <v>44562</v>
      </c>
      <c r="B53" s="6" t="n">
        <v>4573.8155</v>
      </c>
      <c r="C53" s="7" t="n">
        <f aca="false">IF(OR(B53="",B41=""),"",B53/B41-1)</f>
        <v>0.205619091661429</v>
      </c>
      <c r="D53" s="8" t="n">
        <v>1.76</v>
      </c>
      <c r="E53" s="8" t="n">
        <v>0.5495</v>
      </c>
      <c r="F53" s="8" t="n">
        <v>0.08</v>
      </c>
      <c r="G53" s="9" t="n">
        <f aca="false">IF(OR(D53="",E53=""),"",D53-E53)</f>
        <v>1.2105</v>
      </c>
      <c r="H53" s="10" t="n">
        <v>281.148</v>
      </c>
      <c r="I53" s="7" t="n">
        <f aca="false">IF(OR(H53="",H41=""),"",H53/H41-1)</f>
        <v>0.0747987246828912</v>
      </c>
      <c r="J53" s="10" t="n">
        <v>4</v>
      </c>
      <c r="K53" s="8" t="n">
        <v>-0.17</v>
      </c>
      <c r="L53" s="11" t="n">
        <v>25259.992</v>
      </c>
      <c r="M53" s="7" t="n">
        <f aca="false">IF(OR(L53="",L41=""),"",L53/L41-1)</f>
        <v>0.112547077360805</v>
      </c>
      <c r="N53" s="12" t="n">
        <v>120.3982</v>
      </c>
      <c r="O53" s="11" t="n">
        <v>635.216</v>
      </c>
      <c r="P53" s="7" t="n">
        <f aca="false">IF(OR(O53="",L53="",L53=0),"",O53/L53)</f>
        <v>0.0251471180196732</v>
      </c>
      <c r="Q53" s="6" t="n">
        <v>21647.4</v>
      </c>
      <c r="R53" s="7" t="n">
        <f aca="false">IF(OR(Q53="",Q41=""),"",Q53/Q41-1)</f>
        <v>0.117267861658916</v>
      </c>
      <c r="S53" s="8" t="n">
        <v>8.8206</v>
      </c>
      <c r="T53" s="10" t="n">
        <v>100.1856</v>
      </c>
      <c r="U53" s="7" t="n">
        <f aca="false">IF(OR(T53="",T41=""),"",T53/T41-1)</f>
        <v>0.0131813410300337</v>
      </c>
      <c r="V53" s="6" t="n">
        <v>634120</v>
      </c>
      <c r="W53" s="7" t="n">
        <f aca="false">IF(OR(V53="",V41=""),"",V53/V41-1)</f>
        <v>0.132891220146641</v>
      </c>
      <c r="X53" s="6" t="n">
        <v>16995</v>
      </c>
      <c r="Y53" s="7" t="n">
        <f aca="false">IF(OR(X53="",X41=""),"",X53/X41-1)</f>
        <v>0.127557655051618</v>
      </c>
      <c r="Z53" s="6" t="n">
        <v>16235.8</v>
      </c>
      <c r="AA53" s="7" t="n">
        <f aca="false">IF(OR(Z53="",Z41=""),"",Z53/Z41-1)</f>
        <v>-0.108280744536532</v>
      </c>
      <c r="AB53" s="10" t="n">
        <v>281.88</v>
      </c>
      <c r="AC53" s="7" t="n">
        <f aca="false">IF(OR(AB53="",AB41=""),"",AB53/AB41-1)</f>
        <v>0.192471539831544</v>
      </c>
      <c r="AD53" s="8" t="n">
        <v>86.51</v>
      </c>
      <c r="AE53" s="8" t="n">
        <v>83.222</v>
      </c>
      <c r="AF53" s="6" t="n">
        <v>1816</v>
      </c>
      <c r="AG53" s="7" t="n">
        <f aca="false">IF(OR(AF53="",AF41=""),"",AF53/AF41-1)</f>
        <v>-0.0273165506159614</v>
      </c>
      <c r="AH53" s="10" t="n">
        <v>24.83</v>
      </c>
      <c r="AI53" s="13" t="n">
        <v>1.1317</v>
      </c>
      <c r="AJ53" s="8" t="n">
        <v>1.31</v>
      </c>
    </row>
    <row r="54" customFormat="false" ht="15" hidden="false" customHeight="false" outlineLevel="0" collapsed="false">
      <c r="A54" s="5" t="n">
        <v>44593</v>
      </c>
      <c r="B54" s="6" t="n">
        <v>4435.9805</v>
      </c>
      <c r="C54" s="7" t="n">
        <f aca="false">IF(OR(B54="",B42=""),"",B54/B42-1)</f>
        <v>0.142283522866281</v>
      </c>
      <c r="D54" s="8" t="n">
        <v>1.93</v>
      </c>
      <c r="E54" s="8" t="n">
        <v>1.0042</v>
      </c>
      <c r="F54" s="8" t="n">
        <v>0.08</v>
      </c>
      <c r="G54" s="9" t="n">
        <f aca="false">IF(OR(D54="",E54=""),"",D54-E54)</f>
        <v>0.9258</v>
      </c>
      <c r="H54" s="10" t="n">
        <v>283.716</v>
      </c>
      <c r="I54" s="7" t="n">
        <f aca="false">IF(OR(H54="",H42=""),"",H54/H42-1)</f>
        <v>0.0787106389773928</v>
      </c>
      <c r="J54" s="10" t="n">
        <v>3.9</v>
      </c>
      <c r="K54" s="8" t="n">
        <v>-0.07</v>
      </c>
      <c r="L54" s="11" t="n">
        <v>25259.992</v>
      </c>
      <c r="M54" s="7" t="n">
        <f aca="false">IF(OR(L54="",L42=""),"",L54/L42-1)</f>
        <v>0.112547077360805</v>
      </c>
      <c r="N54" s="12" t="n">
        <v>120.3982</v>
      </c>
      <c r="O54" s="11" t="n">
        <v>635.216</v>
      </c>
      <c r="P54" s="7" t="n">
        <f aca="false">IF(OR(O54="",L54="",L54=0),"",O54/L54)</f>
        <v>0.0251471180196732</v>
      </c>
      <c r="Q54" s="6" t="n">
        <v>21725.6</v>
      </c>
      <c r="R54" s="7" t="n">
        <f aca="false">IF(OR(Q54="",Q42=""),"",Q54/Q42-1)</f>
        <v>0.106112598898245</v>
      </c>
      <c r="S54" s="8" t="n">
        <v>8.8976</v>
      </c>
      <c r="T54" s="10" t="n">
        <v>100.8064</v>
      </c>
      <c r="U54" s="7" t="n">
        <f aca="false">IF(OR(T54="",T42=""),"",T54/T42-1)</f>
        <v>0.0542959308643318</v>
      </c>
      <c r="V54" s="6" t="n">
        <v>640815</v>
      </c>
      <c r="W54" s="7" t="n">
        <f aca="false">IF(OR(V54="",V42=""),"",V54/V42-1)</f>
        <v>0.174908372859665</v>
      </c>
      <c r="X54" s="6" t="n">
        <v>17092.7</v>
      </c>
      <c r="Y54" s="7" t="n">
        <f aca="false">IF(OR(X54="",X42=""),"",X54/X42-1)</f>
        <v>0.141484296218137</v>
      </c>
      <c r="Z54" s="6" t="n">
        <v>16227.2</v>
      </c>
      <c r="AA54" s="7" t="n">
        <f aca="false">IF(OR(Z54="",Z42=""),"",Z54/Z42-1)</f>
        <v>-0.0280552960061332</v>
      </c>
      <c r="AB54" s="10" t="n">
        <v>287.095</v>
      </c>
      <c r="AC54" s="7" t="n">
        <f aca="false">IF(OR(AB54="",AB42=""),"",AB54/AB42-1)</f>
        <v>0.200400558607829</v>
      </c>
      <c r="AD54" s="8" t="n">
        <v>97.13</v>
      </c>
      <c r="AE54" s="8" t="n">
        <v>91.6411</v>
      </c>
      <c r="AF54" s="6" t="n">
        <v>1856</v>
      </c>
      <c r="AG54" s="7" t="n">
        <f aca="false">IF(OR(AF54="",AF42=""),"",AF54/AF42-1)</f>
        <v>0.0265486725663717</v>
      </c>
      <c r="AH54" s="10" t="n">
        <v>30.15</v>
      </c>
      <c r="AI54" s="13" t="n">
        <v>1.1349</v>
      </c>
      <c r="AJ54" s="8" t="n">
        <v>1.85</v>
      </c>
    </row>
    <row r="55" customFormat="false" ht="15" hidden="false" customHeight="false" outlineLevel="0" collapsed="false">
      <c r="A55" s="5" t="n">
        <v>44621</v>
      </c>
      <c r="B55" s="6" t="n">
        <v>4391.2652</v>
      </c>
      <c r="C55" s="7" t="n">
        <f aca="false">IF(OR(B55="",B43=""),"",B55/B43-1)</f>
        <v>0.12293974673318</v>
      </c>
      <c r="D55" s="8" t="n">
        <v>2.13</v>
      </c>
      <c r="E55" s="8" t="n">
        <v>1.3352</v>
      </c>
      <c r="F55" s="8" t="n">
        <v>0.2</v>
      </c>
      <c r="G55" s="9" t="n">
        <f aca="false">IF(OR(D55="",E55=""),"",D55-E55)</f>
        <v>0.7948</v>
      </c>
      <c r="H55" s="10" t="n">
        <v>287.504</v>
      </c>
      <c r="I55" s="7" t="n">
        <f aca="false">IF(OR(H55="",H43=""),"",H55/H43-1)</f>
        <v>0.0854245555484243</v>
      </c>
      <c r="J55" s="10" t="n">
        <v>3.7</v>
      </c>
      <c r="K55" s="8" t="n">
        <v>-0.07</v>
      </c>
      <c r="L55" s="11" t="n">
        <v>25259.992</v>
      </c>
      <c r="M55" s="7" t="n">
        <f aca="false">IF(OR(L55="",L43=""),"",L55/L43-1)</f>
        <v>0.112547077360805</v>
      </c>
      <c r="N55" s="12" t="n">
        <v>120.3982</v>
      </c>
      <c r="O55" s="11" t="n">
        <v>635.216</v>
      </c>
      <c r="P55" s="7" t="n">
        <f aca="false">IF(OR(O55="",L55="",L55=0),"",O55/L55)</f>
        <v>0.0251471180196732</v>
      </c>
      <c r="Q55" s="6" t="n">
        <v>21788.1</v>
      </c>
      <c r="R55" s="7" t="n">
        <f aca="false">IF(OR(Q55="",Q43=""),"",Q55/Q43-1)</f>
        <v>0.0962841832498931</v>
      </c>
      <c r="S55" s="8" t="n">
        <v>8.9338</v>
      </c>
      <c r="T55" s="10" t="n">
        <v>101.3907</v>
      </c>
      <c r="U55" s="7" t="n">
        <f aca="false">IF(OR(T55="",T43=""),"",T55/T43-1)</f>
        <v>0.0305441040152217</v>
      </c>
      <c r="V55" s="6" t="n">
        <v>652673</v>
      </c>
      <c r="W55" s="7" t="n">
        <f aca="false">IF(OR(V55="",V43=""),"",V55/V43-1)</f>
        <v>0.0813363597203354</v>
      </c>
      <c r="X55" s="6" t="n">
        <v>17336.3</v>
      </c>
      <c r="Y55" s="7" t="n">
        <f aca="false">IF(OR(X55="",X43=""),"",X55/X43-1)</f>
        <v>0.103744874831283</v>
      </c>
      <c r="Z55" s="6" t="n">
        <v>16140.3</v>
      </c>
      <c r="AA55" s="7" t="n">
        <f aca="false">IF(OR(Z55="",Z43=""),"",Z55/Z43-1)</f>
        <v>-0.213063680199705</v>
      </c>
      <c r="AB55" s="10" t="n">
        <v>294.886</v>
      </c>
      <c r="AC55" s="7" t="n">
        <f aca="false">IF(OR(AB55="",AB43=""),"",AB55/AB43-1)</f>
        <v>0.20772752963148</v>
      </c>
      <c r="AD55" s="8" t="n">
        <v>117.25</v>
      </c>
      <c r="AE55" s="8" t="n">
        <v>108.5026</v>
      </c>
      <c r="AF55" s="6" t="n">
        <v>1948</v>
      </c>
      <c r="AG55" s="7" t="n">
        <f aca="false">IF(OR(AF55="",AF43=""),"",AF55/AF43-1)</f>
        <v>0.133876600698487</v>
      </c>
      <c r="AH55" s="10" t="n">
        <v>20.56</v>
      </c>
      <c r="AI55" s="13" t="n">
        <v>1.1019</v>
      </c>
      <c r="AJ55" s="8" t="n">
        <v>2.46</v>
      </c>
    </row>
    <row r="56" customFormat="false" ht="15" hidden="false" customHeight="false" outlineLevel="0" collapsed="false">
      <c r="A56" s="5" t="n">
        <v>44652</v>
      </c>
      <c r="B56" s="6" t="n">
        <v>4391.296</v>
      </c>
      <c r="C56" s="7" t="n">
        <f aca="false">IF(OR(B56="",B44=""),"",B56/B44-1)</f>
        <v>0.0603982511055676</v>
      </c>
      <c r="D56" s="8" t="n">
        <v>2.75</v>
      </c>
      <c r="E56" s="8" t="n">
        <v>1.887</v>
      </c>
      <c r="F56" s="8" t="n">
        <v>0.33</v>
      </c>
      <c r="G56" s="9" t="n">
        <f aca="false">IF(OR(D56="",E56=""),"",D56-E56)</f>
        <v>0.863</v>
      </c>
      <c r="H56" s="10" t="n">
        <v>289.109</v>
      </c>
      <c r="I56" s="7" t="n">
        <f aca="false">IF(OR(H56="",H44=""),"",H56/H44-1)</f>
        <v>0.0825862934088237</v>
      </c>
      <c r="J56" s="10" t="n">
        <v>3.7</v>
      </c>
      <c r="K56" s="8" t="n">
        <v>-0.1</v>
      </c>
      <c r="L56" s="11" t="n">
        <v>25869.353</v>
      </c>
      <c r="M56" s="7" t="n">
        <f aca="false">IF(OR(L56="",L44=""),"",L56/L44-1)</f>
        <v>0.102855225891033</v>
      </c>
      <c r="N56" s="12" t="n">
        <v>118.2021</v>
      </c>
      <c r="O56" s="11" t="n">
        <v>683.051</v>
      </c>
      <c r="P56" s="7" t="n">
        <f aca="false">IF(OR(O56="",L56="",L56=0),"",O56/L56)</f>
        <v>0.0264038687013162</v>
      </c>
      <c r="Q56" s="6" t="n">
        <v>21768.4</v>
      </c>
      <c r="R56" s="7" t="n">
        <f aca="false">IF(OR(Q56="",Q44=""),"",Q56/Q44-1)</f>
        <v>0.0790270693612107</v>
      </c>
      <c r="S56" s="8" t="n">
        <v>8.9495</v>
      </c>
      <c r="T56" s="10" t="n">
        <v>101.44</v>
      </c>
      <c r="U56" s="7" t="n">
        <f aca="false">IF(OR(T56="",T44=""),"",T56/T44-1)</f>
        <v>0.0292343547550851</v>
      </c>
      <c r="V56" s="6" t="n">
        <v>661508</v>
      </c>
      <c r="W56" s="7" t="n">
        <f aca="false">IF(OR(V56="",V44=""),"",V56/V44-1)</f>
        <v>0.08577965915302</v>
      </c>
      <c r="X56" s="6" t="n">
        <v>17481.8</v>
      </c>
      <c r="Y56" s="7" t="n">
        <f aca="false">IF(OR(X56="",X44=""),"",X56/X44-1)</f>
        <v>0.0985239319085831</v>
      </c>
      <c r="Z56" s="6" t="n">
        <v>16146.3</v>
      </c>
      <c r="AA56" s="7" t="n">
        <f aca="false">IF(OR(Z56="",Z44=""),"",Z56/Z44-1)</f>
        <v>-0.0723875838058634</v>
      </c>
      <c r="AB56" s="10" t="n">
        <v>301.501</v>
      </c>
      <c r="AC56" s="7" t="n">
        <f aca="false">IF(OR(AB56="",AB44=""),"",AB56/AB44-1)</f>
        <v>0.207085548651592</v>
      </c>
      <c r="AD56" s="8" t="n">
        <v>104.58</v>
      </c>
      <c r="AE56" s="8" t="n">
        <v>101.7775</v>
      </c>
      <c r="AF56" s="6" t="n">
        <v>1937</v>
      </c>
      <c r="AG56" s="7" t="n">
        <f aca="false">IF(OR(AF56="",AF44=""),"",AF56/AF44-1)</f>
        <v>0.100568181818182</v>
      </c>
      <c r="AH56" s="10" t="n">
        <v>33.4</v>
      </c>
      <c r="AI56" s="13" t="n">
        <v>1.0803</v>
      </c>
      <c r="AJ56" s="8" t="n">
        <v>3</v>
      </c>
    </row>
    <row r="57" customFormat="false" ht="15" hidden="false" customHeight="false" outlineLevel="0" collapsed="false">
      <c r="A57" s="5" t="n">
        <v>44682</v>
      </c>
      <c r="B57" s="6" t="n">
        <v>4040.36</v>
      </c>
      <c r="C57" s="7" t="n">
        <f aca="false">IF(OR(B57="",B45=""),"",B57/B45-1)</f>
        <v>-0.0305887964524632</v>
      </c>
      <c r="D57" s="8" t="n">
        <v>2.9</v>
      </c>
      <c r="E57" s="8" t="n">
        <v>2.0595</v>
      </c>
      <c r="F57" s="8" t="n">
        <v>0.77</v>
      </c>
      <c r="G57" s="9" t="n">
        <f aca="false">IF(OR(D57="",E57=""),"",D57-E57)</f>
        <v>0.8405</v>
      </c>
      <c r="H57" s="10" t="n">
        <v>292.296</v>
      </c>
      <c r="I57" s="7" t="n">
        <f aca="false">IF(OR(H57="",H45=""),"",H57/H45-1)</f>
        <v>0.0858151154367652</v>
      </c>
      <c r="J57" s="10" t="n">
        <v>3.6</v>
      </c>
      <c r="K57" s="8" t="n">
        <v>-0.1</v>
      </c>
      <c r="L57" s="11" t="n">
        <v>25869.353</v>
      </c>
      <c r="M57" s="7" t="n">
        <f aca="false">IF(OR(L57="",L45=""),"",L57/L45-1)</f>
        <v>0.102855225891033</v>
      </c>
      <c r="N57" s="12" t="n">
        <v>118.2021</v>
      </c>
      <c r="O57" s="11" t="n">
        <v>683.051</v>
      </c>
      <c r="P57" s="7" t="n">
        <f aca="false">IF(OR(O57="",L57="",L57=0),"",O57/L57)</f>
        <v>0.0264038687013162</v>
      </c>
      <c r="Q57" s="6" t="n">
        <v>21718</v>
      </c>
      <c r="R57" s="7" t="n">
        <f aca="false">IF(OR(Q57="",Q45=""),"",Q57/Q45-1)</f>
        <v>0.0616155444213613</v>
      </c>
      <c r="S57" s="8" t="n">
        <v>8.9355</v>
      </c>
      <c r="T57" s="10" t="n">
        <v>101.3335</v>
      </c>
      <c r="U57" s="7" t="n">
        <f aca="false">IF(OR(T57="",T45=""),"",T57/T45-1)</f>
        <v>0.0191102980591009</v>
      </c>
      <c r="V57" s="6" t="n">
        <v>661325</v>
      </c>
      <c r="W57" s="7" t="n">
        <f aca="false">IF(OR(V57="",V45=""),"",V57/V45-1)</f>
        <v>0.0920360178272723</v>
      </c>
      <c r="X57" s="6" t="n">
        <v>17568.9</v>
      </c>
      <c r="Y57" s="7" t="n">
        <f aca="false">IF(OR(X57="",X45=""),"",X57/X45-1)</f>
        <v>0.100153417452018</v>
      </c>
      <c r="Z57" s="6" t="n">
        <v>16123.3</v>
      </c>
      <c r="AA57" s="7" t="n">
        <f aca="false">IF(OR(Z57="",Z45=""),"",Z57/Z45-1)</f>
        <v>-0.0468891319126298</v>
      </c>
      <c r="AB57" s="10" t="n">
        <v>306.262</v>
      </c>
      <c r="AC57" s="7" t="n">
        <f aca="false">IF(OR(AB57="",AB45=""),"",AB57/AB45-1)</f>
        <v>0.199151132150087</v>
      </c>
      <c r="AD57" s="8" t="n">
        <v>113.34</v>
      </c>
      <c r="AE57" s="8" t="n">
        <v>109.5524</v>
      </c>
      <c r="AF57" s="6" t="n">
        <v>1849</v>
      </c>
      <c r="AG57" s="7" t="n">
        <f aca="false">IF(OR(AF57="",AF45=""),"",AF57/AF45-1)</f>
        <v>-0.000540540540540535</v>
      </c>
      <c r="AH57" s="10" t="n">
        <v>26.19</v>
      </c>
      <c r="AI57" s="13" t="n">
        <v>1.0567</v>
      </c>
      <c r="AJ57" s="8" t="n">
        <v>3.18</v>
      </c>
    </row>
    <row r="58" customFormat="false" ht="15" hidden="false" customHeight="false" outlineLevel="0" collapsed="false">
      <c r="A58" s="5" t="n">
        <v>44713</v>
      </c>
      <c r="B58" s="6" t="n">
        <v>3898.9467</v>
      </c>
      <c r="C58" s="7" t="n">
        <f aca="false">IF(OR(B58="",B46=""),"",B58/B46-1)</f>
        <v>-0.080109388026088</v>
      </c>
      <c r="D58" s="8" t="n">
        <v>3.14</v>
      </c>
      <c r="E58" s="8" t="n">
        <v>2.6514</v>
      </c>
      <c r="F58" s="8" t="n">
        <v>1.21</v>
      </c>
      <c r="G58" s="9" t="n">
        <f aca="false">IF(OR(D58="",E58=""),"",D58-E58)</f>
        <v>0.4886</v>
      </c>
      <c r="H58" s="10" t="n">
        <v>296.311</v>
      </c>
      <c r="I58" s="7" t="n">
        <f aca="false">IF(OR(H58="",H46=""),"",H58/H46-1)</f>
        <v>0.0905975796478415</v>
      </c>
      <c r="J58" s="10" t="n">
        <v>3.6</v>
      </c>
      <c r="K58" s="8" t="n">
        <v>-0.03</v>
      </c>
      <c r="L58" s="11" t="n">
        <v>25869.353</v>
      </c>
      <c r="M58" s="7" t="n">
        <f aca="false">IF(OR(L58="",L46=""),"",L58/L46-1)</f>
        <v>0.102855225891033</v>
      </c>
      <c r="N58" s="12" t="n">
        <v>118.2021</v>
      </c>
      <c r="O58" s="11" t="n">
        <v>683.051</v>
      </c>
      <c r="P58" s="7" t="n">
        <f aca="false">IF(OR(O58="",L58="",L58=0),"",O58/L58)</f>
        <v>0.0264038687013162</v>
      </c>
      <c r="Q58" s="6" t="n">
        <v>21647</v>
      </c>
      <c r="R58" s="7" t="n">
        <f aca="false">IF(OR(Q58="",Q46=""),"",Q58/Q46-1)</f>
        <v>0.0573593126456207</v>
      </c>
      <c r="S58" s="8" t="n">
        <v>8.9227</v>
      </c>
      <c r="T58" s="10" t="n">
        <v>101.018</v>
      </c>
      <c r="U58" s="7" t="n">
        <f aca="false">IF(OR(T58="",T46=""),"",T58/T46-1)</f>
        <v>0.0122175940167557</v>
      </c>
      <c r="V58" s="6" t="n">
        <v>667984</v>
      </c>
      <c r="W58" s="7" t="n">
        <f aca="false">IF(OR(V58="",V46=""),"",V58/V46-1)</f>
        <v>0.0919927874437438</v>
      </c>
      <c r="X58" s="6" t="n">
        <v>17734.6</v>
      </c>
      <c r="Y58" s="7" t="n">
        <f aca="false">IF(OR(X58="",X46=""),"",X58/X46-1)</f>
        <v>0.0957091223626083</v>
      </c>
      <c r="Z58" s="6" t="n">
        <v>16081.5</v>
      </c>
      <c r="AA58" s="7" t="n">
        <f aca="false">IF(OR(Z58="",Z46=""),"",Z58/Z46-1)</f>
        <v>-0.0450018706240758</v>
      </c>
      <c r="AB58" s="10" t="n">
        <v>308.055</v>
      </c>
      <c r="AC58" s="7" t="n">
        <f aca="false">IF(OR(AB58="",AB46=""),"",AB58/AB46-1)</f>
        <v>0.179785608419408</v>
      </c>
      <c r="AD58" s="8" t="n">
        <v>122.71</v>
      </c>
      <c r="AE58" s="8" t="n">
        <v>114.8371</v>
      </c>
      <c r="AF58" s="6" t="n">
        <v>1837</v>
      </c>
      <c r="AG58" s="7" t="n">
        <f aca="false">IF(OR(AF58="",AF46=""),"",AF58/AF46-1)</f>
        <v>0.00108991825613081</v>
      </c>
      <c r="AH58" s="10" t="n">
        <v>28.71</v>
      </c>
      <c r="AI58" s="13" t="n">
        <v>1.0567</v>
      </c>
      <c r="AJ58" s="8" t="n">
        <v>3.61</v>
      </c>
    </row>
    <row r="59" customFormat="false" ht="15" hidden="false" customHeight="false" outlineLevel="0" collapsed="false">
      <c r="A59" s="5" t="n">
        <v>44743</v>
      </c>
      <c r="B59" s="6" t="n">
        <v>3911.7295</v>
      </c>
      <c r="C59" s="7" t="n">
        <f aca="false">IF(OR(B59="",B47=""),"",B59/B47-1)</f>
        <v>-0.103577712456748</v>
      </c>
      <c r="D59" s="8" t="n">
        <v>2.9</v>
      </c>
      <c r="E59" s="8" t="n">
        <v>3.0195</v>
      </c>
      <c r="F59" s="8" t="n">
        <v>1.68</v>
      </c>
      <c r="G59" s="9" t="n">
        <f aca="false">IF(OR(D59="",E59=""),"",D59-E59)</f>
        <v>-0.1195</v>
      </c>
      <c r="H59" s="10" t="n">
        <v>296.276</v>
      </c>
      <c r="I59" s="7" t="n">
        <f aca="false">IF(OR(H59="",H47=""),"",H59/H47-1)</f>
        <v>0.0852481474562552</v>
      </c>
      <c r="J59" s="10" t="n">
        <v>3.5</v>
      </c>
      <c r="K59" s="8" t="n">
        <v>-0.07</v>
      </c>
      <c r="L59" s="11" t="n">
        <v>26335.374</v>
      </c>
      <c r="M59" s="7" t="n">
        <f aca="false">IF(OR(L59="",L47=""),"",L59/L47-1)</f>
        <v>0.0973601061784475</v>
      </c>
      <c r="N59" s="12" t="n">
        <v>117.4383</v>
      </c>
      <c r="O59" s="11" t="n">
        <v>750.826</v>
      </c>
      <c r="P59" s="7" t="n">
        <f aca="false">IF(OR(O59="",L59="",L59=0),"",O59/L59)</f>
        <v>0.0285101703890744</v>
      </c>
      <c r="Q59" s="6" t="n">
        <v>21649.2</v>
      </c>
      <c r="R59" s="7" t="n">
        <f aca="false">IF(OR(Q59="",Q47=""),"",Q59/Q47-1)</f>
        <v>0.0494037809015997</v>
      </c>
      <c r="S59" s="8" t="n">
        <v>8.8942</v>
      </c>
      <c r="T59" s="10" t="n">
        <v>101.223</v>
      </c>
      <c r="U59" s="7" t="n">
        <f aca="false">IF(OR(T59="",T47=""),"",T59/T47-1)</f>
        <v>0.00968659945597028</v>
      </c>
      <c r="V59" s="6" t="n">
        <v>659750</v>
      </c>
      <c r="W59" s="7" t="n">
        <f aca="false">IF(OR(V59="",V47=""),"",V59/V47-1)</f>
        <v>0.0959047464012466</v>
      </c>
      <c r="X59" s="6" t="n">
        <v>17750.8</v>
      </c>
      <c r="Y59" s="7" t="n">
        <f aca="false">IF(OR(X59="",X47=""),"",X59/X47-1)</f>
        <v>0.0932853746566313</v>
      </c>
      <c r="Z59" s="6" t="n">
        <v>16264.8</v>
      </c>
      <c r="AA59" s="7" t="n">
        <f aca="false">IF(OR(Z59="",Z47=""),"",Z59/Z47-1)</f>
        <v>-0.0414427157001415</v>
      </c>
      <c r="AB59" s="10" t="n">
        <v>306.888</v>
      </c>
      <c r="AC59" s="7" t="n">
        <f aca="false">IF(OR(AB59="",AB47=""),"",AB59/AB47-1)</f>
        <v>0.156183127882094</v>
      </c>
      <c r="AD59" s="8" t="n">
        <v>111.93</v>
      </c>
      <c r="AE59" s="8" t="n">
        <v>101.619</v>
      </c>
      <c r="AF59" s="6" t="n">
        <v>1733</v>
      </c>
      <c r="AG59" s="7" t="n">
        <f aca="false">IF(OR(AF59="",AF47=""),"",AF59/AF47-1)</f>
        <v>-0.0414823008849558</v>
      </c>
      <c r="AH59" s="10" t="n">
        <v>21.33</v>
      </c>
      <c r="AI59" s="13" t="n">
        <v>1.0168</v>
      </c>
      <c r="AJ59" s="8" t="n">
        <v>3.66</v>
      </c>
    </row>
    <row r="60" customFormat="false" ht="15" hidden="false" customHeight="false" outlineLevel="0" collapsed="false">
      <c r="A60" s="5" t="n">
        <v>44774</v>
      </c>
      <c r="B60" s="6" t="n">
        <v>4158.563</v>
      </c>
      <c r="C60" s="7" t="n">
        <f aca="false">IF(OR(B60="",B48=""),"",B60/B48-1)</f>
        <v>-0.0663739785385787</v>
      </c>
      <c r="D60" s="8" t="n">
        <v>2.9</v>
      </c>
      <c r="E60" s="8" t="n">
        <v>3.2752</v>
      </c>
      <c r="F60" s="8" t="n">
        <v>2.33</v>
      </c>
      <c r="G60" s="9" t="n">
        <f aca="false">IF(OR(D60="",E60=""),"",D60-E60)</f>
        <v>-0.3752</v>
      </c>
      <c r="H60" s="10" t="n">
        <v>296.171</v>
      </c>
      <c r="I60" s="7" t="n">
        <f aca="false">IF(OR(H60="",H48=""),"",H60/H48-1)</f>
        <v>0.0826269250311624</v>
      </c>
      <c r="J60" s="10" t="n">
        <v>3.6</v>
      </c>
      <c r="K60" s="8" t="n">
        <v>0</v>
      </c>
      <c r="L60" s="11" t="n">
        <v>26335.374</v>
      </c>
      <c r="M60" s="7" t="n">
        <f aca="false">IF(OR(L60="",L48=""),"",L60/L48-1)</f>
        <v>0.0973601061784475</v>
      </c>
      <c r="N60" s="12" t="n">
        <v>117.4383</v>
      </c>
      <c r="O60" s="11" t="n">
        <v>750.826</v>
      </c>
      <c r="P60" s="7" t="n">
        <f aca="false">IF(OR(O60="",L60="",L60=0),"",O60/L60)</f>
        <v>0.0285101703890744</v>
      </c>
      <c r="Q60" s="6" t="n">
        <v>21641.9</v>
      </c>
      <c r="R60" s="7" t="n">
        <f aca="false">IF(OR(Q60="",Q48=""),"",Q60/Q48-1)</f>
        <v>0.0382796008443678</v>
      </c>
      <c r="S60" s="8" t="n">
        <v>8.8562</v>
      </c>
      <c r="T60" s="10" t="n">
        <v>101.0963</v>
      </c>
      <c r="U60" s="7" t="n">
        <f aca="false">IF(OR(T60="",T48=""),"",T60/T48-1)</f>
        <v>0.0105214021472617</v>
      </c>
      <c r="V60" s="6" t="n">
        <v>662999</v>
      </c>
      <c r="W60" s="7" t="n">
        <f aca="false">IF(OR(V60="",V48=""),"",V60/V48-1)</f>
        <v>0.095107685751521</v>
      </c>
      <c r="X60" s="6" t="n">
        <v>17877.8</v>
      </c>
      <c r="Y60" s="7" t="n">
        <f aca="false">IF(OR(X60="",X48=""),"",X60/X48-1)</f>
        <v>0.0898439405023164</v>
      </c>
      <c r="Z60" s="6" t="n">
        <v>16370.1</v>
      </c>
      <c r="AA60" s="7" t="n">
        <f aca="false">IF(OR(Z60="",Z48=""),"",Z60/Z48-1)</f>
        <v>-0.0342237849700888</v>
      </c>
      <c r="AB60" s="10" t="n">
        <v>303.462</v>
      </c>
      <c r="AC60" s="7" t="n">
        <f aca="false">IF(OR(AB60="",AB48=""),"",AB60/AB48-1)</f>
        <v>0.129379452024206</v>
      </c>
      <c r="AD60" s="8" t="n">
        <v>100.45</v>
      </c>
      <c r="AE60" s="8" t="n">
        <v>93.6652</v>
      </c>
      <c r="AF60" s="6" t="n">
        <v>1765</v>
      </c>
      <c r="AG60" s="7" t="n">
        <f aca="false">IF(OR(AF60="",AF48=""),"",AF60/AF48-1)</f>
        <v>-0.011204481792717</v>
      </c>
      <c r="AH60" s="10" t="n">
        <v>25.87</v>
      </c>
      <c r="AI60" s="13" t="n">
        <v>1.0129</v>
      </c>
      <c r="AJ60" s="8" t="n">
        <v>3.81</v>
      </c>
    </row>
    <row r="61" customFormat="false" ht="15" hidden="false" customHeight="false" outlineLevel="0" collapsed="false">
      <c r="A61" s="5" t="n">
        <v>44805</v>
      </c>
      <c r="B61" s="6" t="n">
        <v>3850.5205</v>
      </c>
      <c r="C61" s="7" t="n">
        <f aca="false">IF(OR(B61="",B49=""),"",B61/B49-1)</f>
        <v>-0.133847037323874</v>
      </c>
      <c r="D61" s="8" t="n">
        <v>3.52</v>
      </c>
      <c r="E61" s="8" t="n">
        <v>3.8919</v>
      </c>
      <c r="F61" s="8" t="n">
        <v>2.56</v>
      </c>
      <c r="G61" s="9" t="n">
        <f aca="false">IF(OR(D61="",E61=""),"",D61-E61)</f>
        <v>-0.3719</v>
      </c>
      <c r="H61" s="10" t="n">
        <v>296.808</v>
      </c>
      <c r="I61" s="7" t="n">
        <f aca="false">IF(OR(H61="",H49=""),"",H61/H49-1)</f>
        <v>0.0820166964383362</v>
      </c>
      <c r="J61" s="10" t="n">
        <v>3.5</v>
      </c>
      <c r="K61" s="8" t="n">
        <v>-0.03</v>
      </c>
      <c r="L61" s="11" t="n">
        <v>26335.374</v>
      </c>
      <c r="M61" s="7" t="n">
        <f aca="false">IF(OR(L61="",L49=""),"",L61/L49-1)</f>
        <v>0.0973601061784475</v>
      </c>
      <c r="N61" s="12" t="n">
        <v>117.4383</v>
      </c>
      <c r="O61" s="11" t="n">
        <v>750.826</v>
      </c>
      <c r="P61" s="7" t="n">
        <f aca="false">IF(OR(O61="",L61="",L61=0),"",O61/L61)</f>
        <v>0.0285101703890744</v>
      </c>
      <c r="Q61" s="6" t="n">
        <v>21541.3</v>
      </c>
      <c r="R61" s="7" t="n">
        <f aca="false">IF(OR(Q61="",Q49=""),"",Q61/Q49-1)</f>
        <v>0.0264898453210327</v>
      </c>
      <c r="S61" s="8" t="n">
        <v>8.8169</v>
      </c>
      <c r="T61" s="10" t="n">
        <v>101.2918</v>
      </c>
      <c r="U61" s="7" t="n">
        <f aca="false">IF(OR(T61="",T49=""),"",T61/T49-1)</f>
        <v>0.024620187157526</v>
      </c>
      <c r="V61" s="6" t="n">
        <v>661072</v>
      </c>
      <c r="W61" s="7" t="n">
        <f aca="false">IF(OR(V61="",V49=""),"",V61/V49-1)</f>
        <v>0.0834386334098705</v>
      </c>
      <c r="X61" s="6" t="n">
        <v>17962.9</v>
      </c>
      <c r="Y61" s="7" t="n">
        <f aca="false">IF(OR(X61="",X49=""),"",X61/X49-1)</f>
        <v>0.0893670440831329</v>
      </c>
      <c r="Z61" s="6" t="n">
        <v>16432.6</v>
      </c>
      <c r="AA61" s="7" t="n">
        <f aca="false">IF(OR(Z61="",Z49=""),"",Z61/Z49-1)</f>
        <v>-0.020241949427919</v>
      </c>
      <c r="AB61" s="10" t="n">
        <v>300.292</v>
      </c>
      <c r="AC61" s="7" t="n">
        <f aca="false">IF(OR(AB61="",AB49=""),"",AB61/AB49-1)</f>
        <v>0.10665521778066</v>
      </c>
      <c r="AD61" s="8" t="n">
        <v>89.76</v>
      </c>
      <c r="AE61" s="8" t="n">
        <v>84.2581</v>
      </c>
      <c r="AF61" s="6" t="n">
        <v>1681</v>
      </c>
      <c r="AG61" s="7" t="n">
        <f aca="false">IF(OR(AF61="",AF49=""),"",AF61/AF49-1)</f>
        <v>-0.0529577464788732</v>
      </c>
      <c r="AH61" s="10" t="n">
        <v>31.62</v>
      </c>
      <c r="AI61" s="13" t="n">
        <v>0.9899</v>
      </c>
      <c r="AJ61" s="8" t="n">
        <v>4.5</v>
      </c>
    </row>
    <row r="62" customFormat="false" ht="15" hidden="false" customHeight="false" outlineLevel="0" collapsed="false">
      <c r="A62" s="5" t="n">
        <v>44835</v>
      </c>
      <c r="B62" s="6" t="n">
        <v>3726.051</v>
      </c>
      <c r="C62" s="7" t="n">
        <f aca="false">IF(OR(B62="",B50=""),"",B62/B50-1)</f>
        <v>-0.164694987483038</v>
      </c>
      <c r="D62" s="8" t="n">
        <v>3.98</v>
      </c>
      <c r="E62" s="8" t="n">
        <v>4.4275</v>
      </c>
      <c r="F62" s="8" t="n">
        <v>3.08</v>
      </c>
      <c r="G62" s="9" t="n">
        <f aca="false">IF(OR(D62="",E62=""),"",D62-E62)</f>
        <v>-0.4475</v>
      </c>
      <c r="H62" s="10" t="n">
        <v>298.012</v>
      </c>
      <c r="I62" s="7" t="n">
        <f aca="false">IF(OR(H62="",H50=""),"",H62/H50-1)</f>
        <v>0.0774542733080492</v>
      </c>
      <c r="J62" s="10" t="n">
        <v>3.6</v>
      </c>
      <c r="K62" s="8" t="n">
        <v>0.03</v>
      </c>
      <c r="L62" s="11" t="n">
        <v>26774.117</v>
      </c>
      <c r="M62" s="7" t="n">
        <f aca="false">IF(OR(L62="",L50=""),"",L62/L50-1)</f>
        <v>0.0785929205714495</v>
      </c>
      <c r="N62" s="12" t="n">
        <v>117.3668</v>
      </c>
      <c r="O62" s="11" t="n">
        <v>822.708</v>
      </c>
      <c r="P62" s="7" t="n">
        <f aca="false">IF(OR(O62="",L62="",L62=0),"",O62/L62)</f>
        <v>0.0307277360444791</v>
      </c>
      <c r="Q62" s="6" t="n">
        <v>21464.2</v>
      </c>
      <c r="R62" s="7" t="n">
        <f aca="false">IF(OR(Q62="",Q50=""),"",Q62/Q50-1)</f>
        <v>0.0141748802222621</v>
      </c>
      <c r="S62" s="8" t="n">
        <v>8.7463</v>
      </c>
      <c r="T62" s="10" t="n">
        <v>101.2529</v>
      </c>
      <c r="U62" s="7" t="n">
        <f aca="false">IF(OR(T62="",T50=""),"",T62/T50-1)</f>
        <v>0.0106481837300783</v>
      </c>
      <c r="V62" s="6" t="n">
        <v>666924</v>
      </c>
      <c r="W62" s="7" t="n">
        <f aca="false">IF(OR(V62="",V50=""),"",V62/V50-1)</f>
        <v>0.0773903182136868</v>
      </c>
      <c r="X62" s="6" t="n">
        <v>18087.9</v>
      </c>
      <c r="Y62" s="7" t="n">
        <f aca="false">IF(OR(X62="",X50=""),"",X62/X50-1)</f>
        <v>0.0828095255199168</v>
      </c>
      <c r="Z62" s="6" t="n">
        <v>16480.2</v>
      </c>
      <c r="AA62" s="7" t="n">
        <f aca="false">IF(OR(Z62="",Z50=""),"",Z62/Z50-1)</f>
        <v>-0.0176206201790674</v>
      </c>
      <c r="AB62" s="10" t="n">
        <v>298.506</v>
      </c>
      <c r="AC62" s="7" t="n">
        <f aca="false">IF(OR(AB62="",AB50=""),"",AB62/AB50-1)</f>
        <v>0.0911782660666829</v>
      </c>
      <c r="AD62" s="8" t="n">
        <v>93.33</v>
      </c>
      <c r="AE62" s="8" t="n">
        <v>87.5548</v>
      </c>
      <c r="AF62" s="6" t="n">
        <v>1664</v>
      </c>
      <c r="AG62" s="7" t="n">
        <f aca="false">IF(OR(AF62="",AF50=""),"",AF62/AF50-1)</f>
        <v>-0.0635903207653349</v>
      </c>
      <c r="AH62" s="10" t="n">
        <v>25.88</v>
      </c>
      <c r="AI62" s="13" t="n">
        <v>0.9853</v>
      </c>
      <c r="AJ62" s="8" t="n">
        <v>5.13</v>
      </c>
    </row>
    <row r="63" customFormat="false" ht="15" hidden="false" customHeight="false" outlineLevel="0" collapsed="false">
      <c r="A63" s="5" t="n">
        <v>44866</v>
      </c>
      <c r="B63" s="6" t="n">
        <v>3917.4886</v>
      </c>
      <c r="C63" s="7" t="n">
        <f aca="false">IF(OR(B63="",B51=""),"",B63/B51-1)</f>
        <v>-0.160667660127668</v>
      </c>
      <c r="D63" s="8" t="n">
        <v>3.89</v>
      </c>
      <c r="E63" s="8" t="n">
        <v>4.728</v>
      </c>
      <c r="F63" s="8" t="n">
        <v>3.78</v>
      </c>
      <c r="G63" s="9" t="n">
        <f aca="false">IF(OR(D63="",E63=""),"",D63-E63)</f>
        <v>-0.838</v>
      </c>
      <c r="H63" s="10" t="n">
        <v>297.711</v>
      </c>
      <c r="I63" s="7" t="n">
        <f aca="false">IF(OR(H63="",H51=""),"",H63/H51-1)</f>
        <v>0.0711032279419173</v>
      </c>
      <c r="J63" s="10" t="n">
        <v>3.6</v>
      </c>
      <c r="K63" s="8" t="n">
        <v>0.03</v>
      </c>
      <c r="L63" s="11" t="n">
        <v>26774.117</v>
      </c>
      <c r="M63" s="7" t="n">
        <f aca="false">IF(OR(L63="",L51=""),"",L63/L51-1)</f>
        <v>0.0785929205714495</v>
      </c>
      <c r="N63" s="12" t="n">
        <v>117.3668</v>
      </c>
      <c r="O63" s="11" t="n">
        <v>822.708</v>
      </c>
      <c r="P63" s="7" t="n">
        <f aca="false">IF(OR(O63="",L63="",L63=0),"",O63/L63)</f>
        <v>0.0307277360444791</v>
      </c>
      <c r="Q63" s="6" t="n">
        <v>21409.5</v>
      </c>
      <c r="R63" s="7" t="n">
        <f aca="false">IF(OR(Q63="",Q51=""),"",Q63/Q51-1)</f>
        <v>0.00321448486240028</v>
      </c>
      <c r="S63" s="8" t="n">
        <v>8.6375</v>
      </c>
      <c r="T63" s="10" t="n">
        <v>100.9552</v>
      </c>
      <c r="U63" s="7" t="n">
        <f aca="false">IF(OR(T63="",T51=""),"",T63/T51-1)</f>
        <v>0.000890295383749074</v>
      </c>
      <c r="V63" s="6" t="n">
        <v>656410</v>
      </c>
      <c r="W63" s="7" t="n">
        <f aca="false">IF(OR(V63="",V51=""),"",V63/V51-1)</f>
        <v>0.048611776734081</v>
      </c>
      <c r="X63" s="6" t="n">
        <v>18075.3</v>
      </c>
      <c r="Y63" s="7" t="n">
        <f aca="false">IF(OR(X63="",X51=""),"",X63/X51-1)</f>
        <v>0.0731957844738014</v>
      </c>
      <c r="Z63" s="6" t="n">
        <v>16511.2</v>
      </c>
      <c r="AA63" s="7" t="n">
        <f aca="false">IF(OR(Z63="",Z51=""),"",Z63/Z51-1)</f>
        <v>-0.0129071984982453</v>
      </c>
      <c r="AB63" s="10" t="n">
        <v>296.69</v>
      </c>
      <c r="AC63" s="7" t="n">
        <f aca="false">IF(OR(AB63="",AB51=""),"",AB63/AB51-1)</f>
        <v>0.0752208861539352</v>
      </c>
      <c r="AD63" s="8" t="n">
        <v>91.42</v>
      </c>
      <c r="AE63" s="8" t="n">
        <v>84.3705</v>
      </c>
      <c r="AF63" s="6" t="n">
        <v>1725</v>
      </c>
      <c r="AG63" s="7" t="n">
        <f aca="false">IF(OR(AF63="",AF51=""),"",AF63/AF51-1)</f>
        <v>-0.0532381997804611</v>
      </c>
      <c r="AH63" s="10" t="n">
        <v>20.58</v>
      </c>
      <c r="AI63" s="13" t="n">
        <v>1.0192</v>
      </c>
      <c r="AJ63" s="8" t="n">
        <v>5.14</v>
      </c>
    </row>
    <row r="64" customFormat="false" ht="15" hidden="false" customHeight="false" outlineLevel="0" collapsed="false">
      <c r="A64" s="5" t="n">
        <v>44896</v>
      </c>
      <c r="B64" s="6" t="n">
        <v>3912.381</v>
      </c>
      <c r="C64" s="7" t="n">
        <f aca="false">IF(OR(B64="",B52=""),"",B64/B52-1)</f>
        <v>-0.163086367814204</v>
      </c>
      <c r="D64" s="8" t="n">
        <v>3.62</v>
      </c>
      <c r="E64" s="8" t="n">
        <v>4.6819</v>
      </c>
      <c r="F64" s="8" t="n">
        <v>4.1</v>
      </c>
      <c r="G64" s="9" t="n">
        <f aca="false">IF(OR(D64="",E64=""),"",D64-E64)</f>
        <v>-1.0619</v>
      </c>
      <c r="H64" s="10" t="n">
        <v>296.797</v>
      </c>
      <c r="I64" s="7" t="n">
        <f aca="false">IF(OR(H64="",H52=""),"",H64/H52-1)</f>
        <v>0.0645440133141082</v>
      </c>
      <c r="J64" s="10" t="n">
        <v>3.5</v>
      </c>
      <c r="K64" s="8" t="n">
        <v>0.03</v>
      </c>
      <c r="L64" s="11" t="n">
        <v>26774.117</v>
      </c>
      <c r="M64" s="7" t="n">
        <f aca="false">IF(OR(L64="",L52=""),"",L64/L52-1)</f>
        <v>0.0785929205714495</v>
      </c>
      <c r="N64" s="12" t="n">
        <v>117.3668</v>
      </c>
      <c r="O64" s="11" t="n">
        <v>822.708</v>
      </c>
      <c r="P64" s="7" t="n">
        <f aca="false">IF(OR(O64="",L64="",L64=0),"",O64/L64)</f>
        <v>0.0307277360444791</v>
      </c>
      <c r="Q64" s="6" t="n">
        <v>21293.2</v>
      </c>
      <c r="R64" s="7" t="n">
        <f aca="false">IF(OR(Q64="",Q52=""),"",Q64/Q52-1)</f>
        <v>-0.0097475677586174</v>
      </c>
      <c r="S64" s="8" t="n">
        <v>8.5704</v>
      </c>
      <c r="T64" s="10" t="n">
        <v>99.7664</v>
      </c>
      <c r="U64" s="7" t="n">
        <f aca="false">IF(OR(T64="",T52=""),"",T64/T52-1)</f>
        <v>-0.00801609981247364</v>
      </c>
      <c r="V64" s="6" t="n">
        <v>648305</v>
      </c>
      <c r="W64" s="7" t="n">
        <f aca="false">IF(OR(V64="",V52=""),"",V64/V52-1)</f>
        <v>0.0427369260809285</v>
      </c>
      <c r="X64" s="6" t="n">
        <v>18085.1</v>
      </c>
      <c r="Y64" s="7" t="n">
        <f aca="false">IF(OR(X64="",X52=""),"",X64/X52-1)</f>
        <v>0.071442959381961</v>
      </c>
      <c r="Z64" s="6" t="n">
        <v>16590.5</v>
      </c>
      <c r="AA64" s="7" t="n">
        <f aca="false">IF(OR(Z64="",Z52=""),"",Z64/Z52-1)</f>
        <v>-0.00339999159012672</v>
      </c>
      <c r="AB64" s="10" t="n">
        <v>294.181</v>
      </c>
      <c r="AC64" s="7" t="n">
        <f aca="false">IF(OR(AB64="",AB52=""),"",AB64/AB52-1)</f>
        <v>0.0562748646358453</v>
      </c>
      <c r="AD64" s="8" t="n">
        <v>80.92</v>
      </c>
      <c r="AE64" s="8" t="n">
        <v>76.4371</v>
      </c>
      <c r="AF64" s="6" t="n">
        <v>1798</v>
      </c>
      <c r="AG64" s="7" t="n">
        <f aca="false">IF(OR(AF64="",AF52=""),"",AF64/AF52-1)</f>
        <v>0.00446927374301676</v>
      </c>
      <c r="AH64" s="10" t="n">
        <v>21.67</v>
      </c>
      <c r="AI64" s="13" t="n">
        <v>1.0591</v>
      </c>
      <c r="AJ64" s="8" t="n">
        <v>4.89</v>
      </c>
    </row>
    <row r="65" customFormat="false" ht="15" hidden="false" customHeight="false" outlineLevel="0" collapsed="false">
      <c r="A65" s="5" t="n">
        <v>44927</v>
      </c>
      <c r="B65" s="6" t="n">
        <v>3960.6565</v>
      </c>
      <c r="C65" s="7" t="n">
        <f aca="false">IF(OR(B65="",B53=""),"",B65/B53-1)</f>
        <v>-0.134058533843352</v>
      </c>
      <c r="D65" s="8" t="n">
        <v>3.53</v>
      </c>
      <c r="E65" s="8" t="n">
        <v>4.694</v>
      </c>
      <c r="F65" s="8" t="n">
        <v>4.33</v>
      </c>
      <c r="G65" s="9" t="n">
        <f aca="false">IF(OR(D65="",E65=""),"",D65-E65)</f>
        <v>-1.164</v>
      </c>
      <c r="H65" s="10" t="n">
        <v>299.17</v>
      </c>
      <c r="I65" s="7" t="n">
        <f aca="false">IF(OR(H65="",H53=""),"",H65/H53-1)</f>
        <v>0.0641014696885627</v>
      </c>
      <c r="J65" s="10" t="n">
        <v>3.5</v>
      </c>
      <c r="K65" s="8" t="n">
        <v>0</v>
      </c>
      <c r="L65" s="11" t="n">
        <v>27241.282</v>
      </c>
      <c r="M65" s="7" t="n">
        <f aca="false">IF(OR(L65="",L53=""),"",L65/L53-1)</f>
        <v>0.0784358918245105</v>
      </c>
      <c r="N65" s="12" t="n">
        <v>115.5861</v>
      </c>
      <c r="O65" s="11" t="n">
        <v>861.849</v>
      </c>
      <c r="P65" s="7" t="n">
        <f aca="false">IF(OR(O65="",L65="",L65=0),"",O65/L65)</f>
        <v>0.0316376079510502</v>
      </c>
      <c r="Q65" s="6" t="n">
        <v>21274</v>
      </c>
      <c r="R65" s="7" t="n">
        <f aca="false">IF(OR(Q65="",Q53=""),"",Q65/Q53-1)</f>
        <v>-0.0172491846595897</v>
      </c>
      <c r="S65" s="8" t="n">
        <v>8.4939</v>
      </c>
      <c r="T65" s="10" t="n">
        <v>100.505</v>
      </c>
      <c r="U65" s="7" t="n">
        <f aca="false">IF(OR(T65="",T53=""),"",T65/T53-1)</f>
        <v>0.00318808291810391</v>
      </c>
      <c r="V65" s="6" t="n">
        <v>674646</v>
      </c>
      <c r="W65" s="7" t="n">
        <f aca="false">IF(OR(V65="",V53=""),"",V65/V53-1)</f>
        <v>0.0639090392985555</v>
      </c>
      <c r="X65" s="6" t="n">
        <v>18414.8</v>
      </c>
      <c r="Y65" s="7" t="n">
        <f aca="false">IF(OR(X65="",X53=""),"",X65/X53-1)</f>
        <v>0.0835422182994998</v>
      </c>
      <c r="Z65" s="6" t="n">
        <v>16911.9</v>
      </c>
      <c r="AA65" s="7" t="n">
        <f aca="false">IF(OR(Z65="",Z53=""),"",Z65/Z53-1)</f>
        <v>0.0416425430222103</v>
      </c>
      <c r="AB65" s="10" t="n">
        <v>292.671</v>
      </c>
      <c r="AC65" s="7" t="n">
        <f aca="false">IF(OR(AB65="",AB53=""),"",AB65/AB53-1)</f>
        <v>0.0382822477650064</v>
      </c>
      <c r="AD65" s="8" t="n">
        <v>82.5</v>
      </c>
      <c r="AE65" s="8" t="n">
        <v>78.123</v>
      </c>
      <c r="AF65" s="6" t="n">
        <v>1898</v>
      </c>
      <c r="AG65" s="7" t="n">
        <f aca="false">IF(OR(AF65="",AF53=""),"",AF65/AF53-1)</f>
        <v>0.0451541850220265</v>
      </c>
      <c r="AH65" s="10" t="n">
        <v>19.4</v>
      </c>
      <c r="AI65" s="13" t="n">
        <v>1.0777</v>
      </c>
      <c r="AJ65" s="8" t="n">
        <v>4.81</v>
      </c>
    </row>
    <row r="66" customFormat="false" ht="15" hidden="false" customHeight="false" outlineLevel="0" collapsed="false">
      <c r="A66" s="5" t="n">
        <v>44958</v>
      </c>
      <c r="B66" s="6" t="n">
        <v>4079.6847</v>
      </c>
      <c r="C66" s="7" t="n">
        <f aca="false">IF(OR(B66="",B54=""),"",B66/B54-1)</f>
        <v>-0.0803195144793806</v>
      </c>
      <c r="D66" s="8" t="n">
        <v>3.75</v>
      </c>
      <c r="E66" s="8" t="n">
        <v>4.9253</v>
      </c>
      <c r="F66" s="8" t="n">
        <v>4.57</v>
      </c>
      <c r="G66" s="9" t="n">
        <f aca="false">IF(OR(D66="",E66=""),"",D66-E66)</f>
        <v>-1.1753</v>
      </c>
      <c r="H66" s="10" t="n">
        <v>300.84</v>
      </c>
      <c r="I66" s="7" t="n">
        <f aca="false">IF(OR(H66="",H54=""),"",H66/H54-1)</f>
        <v>0.060356130778666</v>
      </c>
      <c r="J66" s="10" t="n">
        <v>3.6</v>
      </c>
      <c r="K66" s="8" t="n">
        <v>0</v>
      </c>
      <c r="L66" s="11" t="n">
        <v>27241.282</v>
      </c>
      <c r="M66" s="7" t="n">
        <f aca="false">IF(OR(L66="",L54=""),"",L66/L54-1)</f>
        <v>0.0784358918245105</v>
      </c>
      <c r="N66" s="12" t="n">
        <v>115.5861</v>
      </c>
      <c r="O66" s="11" t="n">
        <v>861.849</v>
      </c>
      <c r="P66" s="7" t="n">
        <f aca="false">IF(OR(O66="",L66="",L66=0),"",O66/L66)</f>
        <v>0.0316376079510502</v>
      </c>
      <c r="Q66" s="6" t="n">
        <v>21240.2</v>
      </c>
      <c r="R66" s="7" t="n">
        <f aca="false">IF(OR(Q66="",Q54=""),"",Q66/Q54-1)</f>
        <v>-0.0223423058511617</v>
      </c>
      <c r="S66" s="8" t="n">
        <v>8.409</v>
      </c>
      <c r="T66" s="10" t="n">
        <v>100.6416</v>
      </c>
      <c r="U66" s="7" t="n">
        <f aca="false">IF(OR(T66="",T54=""),"",T66/T54-1)</f>
        <v>-0.00163481683702627</v>
      </c>
      <c r="V66" s="6" t="n">
        <v>664692</v>
      </c>
      <c r="W66" s="7" t="n">
        <f aca="false">IF(OR(V66="",V54=""),"",V66/V54-1)</f>
        <v>0.03726036375553</v>
      </c>
      <c r="X66" s="6" t="n">
        <v>18442.1</v>
      </c>
      <c r="Y66" s="7" t="n">
        <f aca="false">IF(OR(X66="",X54=""),"",X66/X54-1)</f>
        <v>0.0789459827879737</v>
      </c>
      <c r="Z66" s="6" t="n">
        <v>17003.9</v>
      </c>
      <c r="AA66" s="7" t="n">
        <f aca="false">IF(OR(Z66="",Z54=""),"",Z66/Z54-1)</f>
        <v>0.0478640800631041</v>
      </c>
      <c r="AB66" s="10" t="n">
        <v>293.462</v>
      </c>
      <c r="AC66" s="7" t="n">
        <f aca="false">IF(OR(AB66="",AB54=""),"",AB66/AB54-1)</f>
        <v>0.0221773280621396</v>
      </c>
      <c r="AD66" s="8" t="n">
        <v>82.59</v>
      </c>
      <c r="AE66" s="8" t="n">
        <v>76.8326</v>
      </c>
      <c r="AF66" s="6" t="n">
        <v>1855</v>
      </c>
      <c r="AG66" s="7" t="n">
        <f aca="false">IF(OR(AF66="",AF54=""),"",AF66/AF54-1)</f>
        <v>-0.000538793103448287</v>
      </c>
      <c r="AH66" s="10" t="n">
        <v>20.7</v>
      </c>
      <c r="AI66" s="13" t="n">
        <v>1.0702</v>
      </c>
      <c r="AJ66" s="8" t="n">
        <v>5.07</v>
      </c>
    </row>
    <row r="67" customFormat="false" ht="15" hidden="false" customHeight="false" outlineLevel="0" collapsed="false">
      <c r="A67" s="5" t="n">
        <v>44986</v>
      </c>
      <c r="B67" s="6" t="n">
        <v>3968.5591</v>
      </c>
      <c r="C67" s="7" t="n">
        <f aca="false">IF(OR(B67="",B55=""),"",B67/B55-1)</f>
        <v>-0.0962606631000105</v>
      </c>
      <c r="D67" s="8" t="n">
        <v>3.66</v>
      </c>
      <c r="E67" s="8" t="n">
        <v>4.6791</v>
      </c>
      <c r="F67" s="8" t="n">
        <v>4.65</v>
      </c>
      <c r="G67" s="9" t="n">
        <f aca="false">IF(OR(D67="",E67=""),"",D67-E67)</f>
        <v>-1.0191</v>
      </c>
      <c r="H67" s="10" t="n">
        <v>301.836</v>
      </c>
      <c r="I67" s="7" t="n">
        <f aca="false">IF(OR(H67="",H55=""),"",H67/H55-1)</f>
        <v>0.0498497412209917</v>
      </c>
      <c r="J67" s="10" t="n">
        <v>3.5</v>
      </c>
      <c r="K67" s="8" t="n">
        <v>0</v>
      </c>
      <c r="L67" s="11" t="n">
        <v>27241.282</v>
      </c>
      <c r="M67" s="7" t="n">
        <f aca="false">IF(OR(L67="",L55=""),"",L67/L55-1)</f>
        <v>0.0784358918245105</v>
      </c>
      <c r="N67" s="12" t="n">
        <v>115.5861</v>
      </c>
      <c r="O67" s="11" t="n">
        <v>861.849</v>
      </c>
      <c r="P67" s="7" t="n">
        <f aca="false">IF(OR(O67="",L67="",L67=0),"",O67/L67)</f>
        <v>0.0316376079510502</v>
      </c>
      <c r="Q67" s="6" t="n">
        <v>20942.3</v>
      </c>
      <c r="R67" s="7" t="n">
        <f aca="false">IF(OR(Q67="",Q55=""),"",Q67/Q55-1)</f>
        <v>-0.0388193555197561</v>
      </c>
      <c r="S67" s="8" t="n">
        <v>8.5522</v>
      </c>
      <c r="T67" s="10" t="n">
        <v>101.0205</v>
      </c>
      <c r="U67" s="7" t="n">
        <f aca="false">IF(OR(T67="",T55=""),"",T67/T55-1)</f>
        <v>-0.0036512224493962</v>
      </c>
      <c r="V67" s="6" t="n">
        <v>655146</v>
      </c>
      <c r="W67" s="7" t="n">
        <f aca="false">IF(OR(V67="",V55=""),"",V67/V55-1)</f>
        <v>0.00378903371213446</v>
      </c>
      <c r="X67" s="6" t="n">
        <v>18483.7</v>
      </c>
      <c r="Y67" s="7" t="n">
        <f aca="false">IF(OR(X67="",X55=""),"",X67/X55-1)</f>
        <v>0.0661848260586171</v>
      </c>
      <c r="Z67" s="6" t="n">
        <v>17092.8</v>
      </c>
      <c r="AA67" s="7" t="n">
        <f aca="false">IF(OR(Z67="",Z55=""),"",Z67/Z55-1)</f>
        <v>0.0590137729781974</v>
      </c>
      <c r="AB67" s="10" t="n">
        <v>297.383</v>
      </c>
      <c r="AC67" s="7" t="n">
        <f aca="false">IF(OR(AB67="",AB55=""),"",AB67/AB55-1)</f>
        <v>0.008467679035288</v>
      </c>
      <c r="AD67" s="8" t="n">
        <v>78.43</v>
      </c>
      <c r="AE67" s="8" t="n">
        <v>73.2778</v>
      </c>
      <c r="AF67" s="6" t="n">
        <v>1913</v>
      </c>
      <c r="AG67" s="7" t="n">
        <f aca="false">IF(OR(AF67="",AF55=""),"",AF67/AF55-1)</f>
        <v>-0.0179671457905544</v>
      </c>
      <c r="AH67" s="10" t="n">
        <v>18.7</v>
      </c>
      <c r="AI67" s="13" t="n">
        <v>1.0711</v>
      </c>
      <c r="AJ67" s="8" t="n">
        <v>5.05</v>
      </c>
    </row>
    <row r="68" customFormat="false" ht="15" hidden="false" customHeight="false" outlineLevel="0" collapsed="false">
      <c r="A68" s="5" t="n">
        <v>45017</v>
      </c>
      <c r="B68" s="6" t="n">
        <v>4121.4674</v>
      </c>
      <c r="C68" s="7" t="n">
        <f aca="false">IF(OR(B68="",B56=""),"",B68/B56-1)</f>
        <v>-0.0614462336403649</v>
      </c>
      <c r="D68" s="8" t="n">
        <v>3.46</v>
      </c>
      <c r="E68" s="8" t="n">
        <v>4.681</v>
      </c>
      <c r="F68" s="8" t="n">
        <v>4.83</v>
      </c>
      <c r="G68" s="9" t="n">
        <f aca="false">IF(OR(D68="",E68=""),"",D68-E68)</f>
        <v>-1.221</v>
      </c>
      <c r="H68" s="10" t="n">
        <v>303.363</v>
      </c>
      <c r="I68" s="7" t="n">
        <f aca="false">IF(OR(H68="",H56=""),"",H68/H56-1)</f>
        <v>0.0493032039818893</v>
      </c>
      <c r="J68" s="10" t="n">
        <v>3.4</v>
      </c>
      <c r="K68" s="8" t="n">
        <v>-0.03</v>
      </c>
      <c r="L68" s="11" t="n">
        <v>27533.925</v>
      </c>
      <c r="M68" s="7" t="n">
        <f aca="false">IF(OR(L68="",L56=""),"",L68/L56-1)</f>
        <v>0.0643453278479751</v>
      </c>
      <c r="N68" s="12" t="n">
        <v>117.4436</v>
      </c>
      <c r="O68" s="11" t="n">
        <v>894.443</v>
      </c>
      <c r="P68" s="7" t="n">
        <f aca="false">IF(OR(O68="",L68="",L68=0),"",O68/L68)</f>
        <v>0.0324851251683151</v>
      </c>
      <c r="Q68" s="6" t="n">
        <v>20758.2</v>
      </c>
      <c r="R68" s="7" t="n">
        <f aca="false">IF(OR(Q68="",Q56=""),"",Q68/Q56-1)</f>
        <v>-0.0464067179948917</v>
      </c>
      <c r="S68" s="8" t="n">
        <v>8.6008</v>
      </c>
      <c r="T68" s="10" t="n">
        <v>101.253</v>
      </c>
      <c r="U68" s="7" t="n">
        <f aca="false">IF(OR(T68="",T56=""),"",T68/T56-1)</f>
        <v>-0.00184345425867505</v>
      </c>
      <c r="V68" s="6" t="n">
        <v>658962</v>
      </c>
      <c r="W68" s="7" t="n">
        <f aca="false">IF(OR(V68="",V56=""),"",V68/V56-1)</f>
        <v>-0.00384878187414206</v>
      </c>
      <c r="X68" s="6" t="n">
        <v>18575.7</v>
      </c>
      <c r="Y68" s="7" t="n">
        <f aca="false">IF(OR(X68="",X56=""),"",X68/X56-1)</f>
        <v>0.062573648022515</v>
      </c>
      <c r="Z68" s="6" t="n">
        <v>17149.6</v>
      </c>
      <c r="AA68" s="7" t="n">
        <f aca="false">IF(OR(Z68="",Z56=""),"",Z68/Z56-1)</f>
        <v>0.0621380749769296</v>
      </c>
      <c r="AB68" s="10" t="n">
        <v>301.496</v>
      </c>
      <c r="AC68" s="7" t="n">
        <f aca="false">IF(OR(AB68="",AB56=""),"",AB68/AB56-1)</f>
        <v>-1.65836929230112E-005</v>
      </c>
      <c r="AD68" s="8" t="n">
        <v>84.64</v>
      </c>
      <c r="AE68" s="8" t="n">
        <v>79.4463</v>
      </c>
      <c r="AF68" s="6" t="n">
        <v>2000</v>
      </c>
      <c r="AG68" s="7" t="n">
        <f aca="false">IF(OR(AF68="",AF56=""),"",AF68/AF56-1)</f>
        <v>0.0325245224574084</v>
      </c>
      <c r="AH68" s="10" t="n">
        <v>15.78</v>
      </c>
      <c r="AI68" s="13" t="n">
        <v>1.0962</v>
      </c>
      <c r="AJ68" s="8" t="n">
        <v>4.78</v>
      </c>
    </row>
    <row r="69" customFormat="false" ht="15" hidden="false" customHeight="false" outlineLevel="0" collapsed="false">
      <c r="A69" s="5" t="n">
        <v>45047</v>
      </c>
      <c r="B69" s="6" t="n">
        <v>4146.1732</v>
      </c>
      <c r="C69" s="7" t="n">
        <f aca="false">IF(OR(B69="",B57=""),"",B69/B57-1)</f>
        <v>0.0261890524606718</v>
      </c>
      <c r="D69" s="8" t="n">
        <v>3.57</v>
      </c>
      <c r="E69" s="8" t="n">
        <v>4.9127</v>
      </c>
      <c r="F69" s="8" t="n">
        <v>5.06</v>
      </c>
      <c r="G69" s="9" t="n">
        <f aca="false">IF(OR(D69="",E69=""),"",D69-E69)</f>
        <v>-1.3427</v>
      </c>
      <c r="H69" s="10" t="n">
        <v>304.127</v>
      </c>
      <c r="I69" s="7" t="n">
        <f aca="false">IF(OR(H69="",H57=""),"",H69/H57-1)</f>
        <v>0.0404760927279197</v>
      </c>
      <c r="J69" s="10" t="n">
        <v>3.6</v>
      </c>
      <c r="K69" s="8" t="n">
        <v>0</v>
      </c>
      <c r="L69" s="11" t="n">
        <v>27533.925</v>
      </c>
      <c r="M69" s="7" t="n">
        <f aca="false">IF(OR(L69="",L57=""),"",L69/L57-1)</f>
        <v>0.0643453278479751</v>
      </c>
      <c r="N69" s="12" t="n">
        <v>117.4436</v>
      </c>
      <c r="O69" s="11" t="n">
        <v>894.443</v>
      </c>
      <c r="P69" s="7" t="n">
        <f aca="false">IF(OR(O69="",L69="",L69=0),"",O69/L69)</f>
        <v>0.0324851251683151</v>
      </c>
      <c r="Q69" s="6" t="n">
        <v>20829.4</v>
      </c>
      <c r="R69" s="7" t="n">
        <f aca="false">IF(OR(Q69="",Q57=""),"",Q69/Q57-1)</f>
        <v>-0.0409153697393866</v>
      </c>
      <c r="S69" s="8" t="n">
        <v>8.4572</v>
      </c>
      <c r="T69" s="10" t="n">
        <v>100.9286</v>
      </c>
      <c r="U69" s="7" t="n">
        <f aca="false">IF(OR(T69="",T57=""),"",T69/T57-1)</f>
        <v>-0.0039957171123074</v>
      </c>
      <c r="V69" s="6" t="n">
        <v>662303</v>
      </c>
      <c r="W69" s="7" t="n">
        <f aca="false">IF(OR(V69="",V57=""),"",V69/V57-1)</f>
        <v>0.00147884927985475</v>
      </c>
      <c r="X69" s="6" t="n">
        <v>18607.8</v>
      </c>
      <c r="Y69" s="7" t="n">
        <f aca="false">IF(OR(X69="",X57=""),"",X69/X57-1)</f>
        <v>0.0591328996123832</v>
      </c>
      <c r="Z69" s="6" t="n">
        <v>17216.3</v>
      </c>
      <c r="AA69" s="7" t="n">
        <f aca="false">IF(OR(Z69="",Z57=""),"",Z69/Z57-1)</f>
        <v>0.0677900925989097</v>
      </c>
      <c r="AB69" s="10" t="n">
        <v>305.359</v>
      </c>
      <c r="AC69" s="7" t="n">
        <f aca="false">IF(OR(AB69="",AB57=""),"",AB69/AB57-1)</f>
        <v>-0.00294845589723836</v>
      </c>
      <c r="AD69" s="8" t="n">
        <v>75.47</v>
      </c>
      <c r="AE69" s="8" t="n">
        <v>71.5782</v>
      </c>
      <c r="AF69" s="6" t="n">
        <v>1992</v>
      </c>
      <c r="AG69" s="7" t="n">
        <f aca="false">IF(OR(AF69="",AF57=""),"",AF69/AF57-1)</f>
        <v>0.0773391022174148</v>
      </c>
      <c r="AH69" s="10" t="n">
        <v>17.94</v>
      </c>
      <c r="AI69" s="13" t="n">
        <v>1.0867</v>
      </c>
      <c r="AJ69" s="8" t="n">
        <v>4.94</v>
      </c>
    </row>
    <row r="70" customFormat="false" ht="15" hidden="false" customHeight="false" outlineLevel="0" collapsed="false">
      <c r="A70" s="5" t="n">
        <v>45078</v>
      </c>
      <c r="B70" s="6" t="n">
        <v>4345.3729</v>
      </c>
      <c r="C70" s="7" t="n">
        <f aca="false">IF(OR(B70="",B58=""),"",B70/B58-1)</f>
        <v>0.114499179996485</v>
      </c>
      <c r="D70" s="8" t="n">
        <v>3.75</v>
      </c>
      <c r="E70" s="8" t="n">
        <v>5.2414</v>
      </c>
      <c r="F70" s="8" t="n">
        <v>5.08</v>
      </c>
      <c r="G70" s="9" t="n">
        <f aca="false">IF(OR(D70="",E70=""),"",D70-E70)</f>
        <v>-1.4914</v>
      </c>
      <c r="H70" s="10" t="n">
        <v>305.109</v>
      </c>
      <c r="I70" s="7" t="n">
        <f aca="false">IF(OR(H70="",H58=""),"",H70/H58-1)</f>
        <v>0.0296917765455889</v>
      </c>
      <c r="J70" s="10" t="n">
        <v>3.6</v>
      </c>
      <c r="K70" s="8" t="n">
        <v>0.03</v>
      </c>
      <c r="L70" s="11" t="n">
        <v>27533.925</v>
      </c>
      <c r="M70" s="7" t="n">
        <f aca="false">IF(OR(L70="",L58=""),"",L70/L58-1)</f>
        <v>0.0643453278479751</v>
      </c>
      <c r="N70" s="12" t="n">
        <v>117.4436</v>
      </c>
      <c r="O70" s="11" t="n">
        <v>894.443</v>
      </c>
      <c r="P70" s="7" t="n">
        <f aca="false">IF(OR(O70="",L70="",L70=0),"",O70/L70)</f>
        <v>0.0324851251683151</v>
      </c>
      <c r="Q70" s="6" t="n">
        <v>20798.9</v>
      </c>
      <c r="R70" s="7" t="n">
        <f aca="false">IF(OR(Q70="",Q58=""),"",Q70/Q58-1)</f>
        <v>-0.0391786390723887</v>
      </c>
      <c r="S70" s="8" t="n">
        <v>8.3702</v>
      </c>
      <c r="T70" s="10" t="n">
        <v>100.1196</v>
      </c>
      <c r="U70" s="7" t="n">
        <f aca="false">IF(OR(T70="",T58=""),"",T70/T58-1)</f>
        <v>-0.00889346453107365</v>
      </c>
      <c r="V70" s="6" t="n">
        <v>664476</v>
      </c>
      <c r="W70" s="7" t="n">
        <f aca="false">IF(OR(V70="",V58=""),"",V70/V58-1)</f>
        <v>-0.00525162279336033</v>
      </c>
      <c r="X70" s="6" t="n">
        <v>18692.8</v>
      </c>
      <c r="Y70" s="7" t="n">
        <f aca="false">IF(OR(X70="",X58=""),"",X70/X58-1)</f>
        <v>0.054029975302516</v>
      </c>
      <c r="Z70" s="6" t="n">
        <v>17256.7</v>
      </c>
      <c r="AA70" s="7" t="n">
        <f aca="false">IF(OR(Z70="",Z58=""),"",Z70/Z58-1)</f>
        <v>0.0730777601591892</v>
      </c>
      <c r="AB70" s="10" t="n">
        <v>308.309</v>
      </c>
      <c r="AC70" s="7" t="n">
        <f aca="false">IF(OR(AB70="",AB58=""),"",AB70/AB58-1)</f>
        <v>0.000824528087516985</v>
      </c>
      <c r="AD70" s="8" t="n">
        <v>74.84</v>
      </c>
      <c r="AE70" s="8" t="n">
        <v>70.2481</v>
      </c>
      <c r="AF70" s="6" t="n">
        <v>1943</v>
      </c>
      <c r="AG70" s="7" t="n">
        <f aca="false">IF(OR(AF70="",AF58=""),"",AF70/AF58-1)</f>
        <v>0.0577027762656506</v>
      </c>
      <c r="AH70" s="10" t="n">
        <v>13.59</v>
      </c>
      <c r="AI70" s="13" t="n">
        <v>1.084</v>
      </c>
      <c r="AJ70" s="8" t="n">
        <v>5.36</v>
      </c>
    </row>
    <row r="71" customFormat="false" ht="15" hidden="false" customHeight="false" outlineLevel="0" collapsed="false">
      <c r="A71" s="5" t="n">
        <v>45108</v>
      </c>
      <c r="B71" s="6" t="n">
        <v>4508.0755</v>
      </c>
      <c r="C71" s="7" t="n">
        <f aca="false">IF(OR(B71="",B59=""),"",B71/B59-1)</f>
        <v>0.152450725439988</v>
      </c>
      <c r="D71" s="8" t="n">
        <v>3.9</v>
      </c>
      <c r="E71" s="8" t="n">
        <v>5.37</v>
      </c>
      <c r="F71" s="8" t="n">
        <v>5.12</v>
      </c>
      <c r="G71" s="9" t="n">
        <f aca="false">IF(OR(D71="",E71=""),"",D71-E71)</f>
        <v>-1.47</v>
      </c>
      <c r="H71" s="10" t="n">
        <v>305.691</v>
      </c>
      <c r="I71" s="7" t="n">
        <f aca="false">IF(OR(H71="",H59=""),"",H71/H59-1)</f>
        <v>0.0317778017794217</v>
      </c>
      <c r="J71" s="10" t="n">
        <v>3.5</v>
      </c>
      <c r="K71" s="8" t="n">
        <v>0.07</v>
      </c>
      <c r="L71" s="11" t="n">
        <v>28064.032</v>
      </c>
      <c r="M71" s="7" t="n">
        <f aca="false">IF(OR(L71="",L59=""),"",L71/L59-1)</f>
        <v>0.0656401538098528</v>
      </c>
      <c r="N71" s="12" t="n">
        <v>118.139</v>
      </c>
      <c r="O71" s="11" t="n">
        <v>965.482</v>
      </c>
      <c r="P71" s="7" t="n">
        <f aca="false">IF(OR(O71="",L71="",L71=0),"",O71/L71)</f>
        <v>0.0344028256524223</v>
      </c>
      <c r="Q71" s="6" t="n">
        <v>20792.2</v>
      </c>
      <c r="R71" s="7" t="n">
        <f aca="false">IF(OR(Q71="",Q59=""),"",Q71/Q59-1)</f>
        <v>-0.0395857583652052</v>
      </c>
      <c r="S71" s="8" t="n">
        <v>8.2783</v>
      </c>
      <c r="T71" s="10" t="n">
        <v>100.9067</v>
      </c>
      <c r="U71" s="7" t="n">
        <f aca="false">IF(OR(T71="",T59=""),"",T71/T59-1)</f>
        <v>-0.00312478389298876</v>
      </c>
      <c r="V71" s="6" t="n">
        <v>663391</v>
      </c>
      <c r="W71" s="7" t="n">
        <f aca="false">IF(OR(V71="",V59=""),"",V71/V59-1)</f>
        <v>0.00551875710496397</v>
      </c>
      <c r="X71" s="6" t="n">
        <v>18791.6</v>
      </c>
      <c r="Y71" s="7" t="n">
        <f aca="false">IF(OR(X71="",X59=""),"",X71/X59-1)</f>
        <v>0.0586339770601887</v>
      </c>
      <c r="Z71" s="6" t="n">
        <v>17305.2</v>
      </c>
      <c r="AA71" s="7" t="n">
        <f aca="false">IF(OR(Z71="",Z59=""),"",Z71/Z59-1)</f>
        <v>0.0639663567950422</v>
      </c>
      <c r="AB71" s="10" t="n">
        <v>310.223</v>
      </c>
      <c r="AC71" s="7" t="n">
        <f aca="false">IF(OR(AB71="",AB59=""),"",AB71/AB59-1)</f>
        <v>0.0108671567477387</v>
      </c>
      <c r="AD71" s="8" t="n">
        <v>80.11</v>
      </c>
      <c r="AE71" s="8" t="n">
        <v>76.0695</v>
      </c>
      <c r="AF71" s="6" t="n">
        <v>1951</v>
      </c>
      <c r="AG71" s="7" t="n">
        <f aca="false">IF(OR(AF71="",AF59=""),"",AF71/AF59-1)</f>
        <v>0.125793421811887</v>
      </c>
      <c r="AH71" s="10" t="n">
        <v>13.63</v>
      </c>
      <c r="AI71" s="13" t="n">
        <v>1.1067</v>
      </c>
      <c r="AJ71" s="8" t="n">
        <v>5.47</v>
      </c>
    </row>
    <row r="72" customFormat="false" ht="15" hidden="false" customHeight="false" outlineLevel="0" collapsed="false">
      <c r="A72" s="5" t="n">
        <v>45139</v>
      </c>
      <c r="B72" s="6" t="n">
        <v>4457.3587</v>
      </c>
      <c r="C72" s="7" t="n">
        <f aca="false">IF(OR(B72="",B60=""),"",B72/B60-1)</f>
        <v>0.0718507090069334</v>
      </c>
      <c r="D72" s="8" t="n">
        <v>4.17</v>
      </c>
      <c r="E72" s="8" t="n">
        <v>5.3674</v>
      </c>
      <c r="F72" s="8" t="n">
        <v>5.33</v>
      </c>
      <c r="G72" s="9" t="n">
        <f aca="false">IF(OR(D72="",E72=""),"",D72-E72)</f>
        <v>-1.1974</v>
      </c>
      <c r="H72" s="10" t="n">
        <v>307.026</v>
      </c>
      <c r="I72" s="7" t="n">
        <f aca="false">IF(OR(H72="",H60=""),"",H72/H60-1)</f>
        <v>0.0366511238439955</v>
      </c>
      <c r="J72" s="10" t="n">
        <v>3.7</v>
      </c>
      <c r="K72" s="8" t="n">
        <v>0.1</v>
      </c>
      <c r="L72" s="11" t="n">
        <v>28064.032</v>
      </c>
      <c r="M72" s="7" t="n">
        <f aca="false">IF(OR(L72="",L60=""),"",L72/L60-1)</f>
        <v>0.0656401538098528</v>
      </c>
      <c r="N72" s="12" t="n">
        <v>118.139</v>
      </c>
      <c r="O72" s="11" t="n">
        <v>965.482</v>
      </c>
      <c r="P72" s="7" t="n">
        <f aca="false">IF(OR(O72="",L72="",L72=0),"",O72/L72)</f>
        <v>0.0344028256524223</v>
      </c>
      <c r="Q72" s="6" t="n">
        <v>20782</v>
      </c>
      <c r="R72" s="7" t="n">
        <f aca="false">IF(OR(Q72="",Q60=""),"",Q72/Q60-1)</f>
        <v>-0.0397331103091688</v>
      </c>
      <c r="S72" s="8" t="n">
        <v>8.1642</v>
      </c>
      <c r="T72" s="10" t="n">
        <v>100.8393</v>
      </c>
      <c r="U72" s="7" t="n">
        <f aca="false">IF(OR(T72="",T60=""),"",T72/T60-1)</f>
        <v>-0.00254213062199116</v>
      </c>
      <c r="V72" s="6" t="n">
        <v>667632</v>
      </c>
      <c r="W72" s="7" t="n">
        <f aca="false">IF(OR(V72="",V60=""),"",V72/V60-1)</f>
        <v>0.00698794417487814</v>
      </c>
      <c r="X72" s="6" t="n">
        <v>18869</v>
      </c>
      <c r="Y72" s="7" t="n">
        <f aca="false">IF(OR(X72="",X60=""),"",X72/X60-1)</f>
        <v>0.0554430634641847</v>
      </c>
      <c r="Z72" s="6" t="n">
        <v>17348.5</v>
      </c>
      <c r="AA72" s="7" t="n">
        <f aca="false">IF(OR(Z72="",Z60=""),"",Z72/Z60-1)</f>
        <v>0.0597675029474469</v>
      </c>
      <c r="AB72" s="10" t="n">
        <v>311.583</v>
      </c>
      <c r="AC72" s="7" t="n">
        <f aca="false">IF(OR(AB72="",AB60=""),"",AB72/AB60-1)</f>
        <v>0.0267611760286297</v>
      </c>
      <c r="AD72" s="8" t="n">
        <v>86.15</v>
      </c>
      <c r="AE72" s="8" t="n">
        <v>81.3861</v>
      </c>
      <c r="AF72" s="6" t="n">
        <v>1919</v>
      </c>
      <c r="AG72" s="7" t="n">
        <f aca="false">IF(OR(AF72="",AF60=""),"",AF72/AF60-1)</f>
        <v>0.0872521246458924</v>
      </c>
      <c r="AH72" s="10" t="n">
        <v>13.57</v>
      </c>
      <c r="AI72" s="13" t="n">
        <v>1.091</v>
      </c>
      <c r="AJ72" s="8" t="n">
        <v>5.55</v>
      </c>
    </row>
    <row r="73" customFormat="false" ht="15" hidden="false" customHeight="false" outlineLevel="0" collapsed="false">
      <c r="A73" s="5" t="n">
        <v>45170</v>
      </c>
      <c r="B73" s="6" t="n">
        <v>4515.77</v>
      </c>
      <c r="C73" s="7" t="n">
        <f aca="false">IF(OR(B73="",B61=""),"",B73/B61-1)</f>
        <v>0.172768720488568</v>
      </c>
      <c r="D73" s="8" t="n">
        <v>4.38</v>
      </c>
      <c r="E73" s="8" t="n">
        <v>5.436</v>
      </c>
      <c r="F73" s="8" t="n">
        <v>5.33</v>
      </c>
      <c r="G73" s="9" t="n">
        <f aca="false">IF(OR(D73="",E73=""),"",D73-E73)</f>
        <v>-1.056</v>
      </c>
      <c r="H73" s="10" t="n">
        <v>307.789</v>
      </c>
      <c r="I73" s="7" t="n">
        <f aca="false">IF(OR(H73="",H61=""),"",H73/H61-1)</f>
        <v>0.0369969812134443</v>
      </c>
      <c r="J73" s="10" t="n">
        <v>3.7</v>
      </c>
      <c r="K73" s="8" t="n">
        <v>0.13</v>
      </c>
      <c r="L73" s="11" t="n">
        <v>28064.032</v>
      </c>
      <c r="M73" s="7" t="n">
        <f aca="false">IF(OR(L73="",L61=""),"",L73/L61-1)</f>
        <v>0.0656401538098528</v>
      </c>
      <c r="N73" s="12" t="n">
        <v>118.139</v>
      </c>
      <c r="O73" s="11" t="n">
        <v>965.482</v>
      </c>
      <c r="P73" s="7" t="n">
        <f aca="false">IF(OR(O73="",L73="",L73=0),"",O73/L73)</f>
        <v>0.0344028256524223</v>
      </c>
      <c r="Q73" s="6" t="n">
        <v>20753.6</v>
      </c>
      <c r="R73" s="7" t="n">
        <f aca="false">IF(OR(Q73="",Q61=""),"",Q73/Q61-1)</f>
        <v>-0.0365669667104586</v>
      </c>
      <c r="S73" s="8" t="n">
        <v>8.0566</v>
      </c>
      <c r="T73" s="10" t="n">
        <v>101.0211</v>
      </c>
      <c r="U73" s="7" t="n">
        <f aca="false">IF(OR(T73="",T61=""),"",T73/T61-1)</f>
        <v>-0.00267247694285211</v>
      </c>
      <c r="V73" s="6" t="n">
        <v>671096</v>
      </c>
      <c r="W73" s="7" t="n">
        <f aca="false">IF(OR(V73="",V61=""),"",V73/V61-1)</f>
        <v>0.0151632499939491</v>
      </c>
      <c r="X73" s="6" t="n">
        <v>18984.6</v>
      </c>
      <c r="Y73" s="7" t="n">
        <f aca="false">IF(OR(X73="",X61=""),"",X73/X61-1)</f>
        <v>0.0568783436972871</v>
      </c>
      <c r="Z73" s="6" t="n">
        <v>17369.5</v>
      </c>
      <c r="AA73" s="7" t="n">
        <f aca="false">IF(OR(Z73="",Z61=""),"",Z73/Z61-1)</f>
        <v>0.057014714652581</v>
      </c>
      <c r="AB73" s="10" t="n">
        <v>312.44</v>
      </c>
      <c r="AC73" s="7" t="n">
        <f aca="false">IF(OR(AB73="",AB61=""),"",AB73/AB61-1)</f>
        <v>0.0404539581474033</v>
      </c>
      <c r="AD73" s="8" t="n">
        <v>93.72</v>
      </c>
      <c r="AE73" s="8" t="n">
        <v>89.425</v>
      </c>
      <c r="AF73" s="6" t="n">
        <v>1916</v>
      </c>
      <c r="AG73" s="7" t="n">
        <f aca="false">IF(OR(AF73="",AF61=""),"",AF73/AF61-1)</f>
        <v>0.139797739440809</v>
      </c>
      <c r="AH73" s="10" t="n">
        <v>17.52</v>
      </c>
      <c r="AI73" s="13" t="n">
        <v>1.0672</v>
      </c>
      <c r="AJ73" s="8" t="n">
        <v>5.67</v>
      </c>
    </row>
    <row r="74" customFormat="false" ht="15" hidden="false" customHeight="false" outlineLevel="0" collapsed="false">
      <c r="A74" s="5" t="n">
        <v>45200</v>
      </c>
      <c r="B74" s="6" t="n">
        <v>4269.4</v>
      </c>
      <c r="C74" s="7" t="n">
        <f aca="false">IF(OR(B74="",B62=""),"",B74/B62-1)</f>
        <v>0.145824359355253</v>
      </c>
      <c r="D74" s="8" t="n">
        <v>4.8</v>
      </c>
      <c r="E74" s="8" t="n">
        <v>5.4248</v>
      </c>
      <c r="F74" s="8" t="n">
        <v>5.33</v>
      </c>
      <c r="G74" s="9" t="n">
        <f aca="false">IF(OR(D74="",E74=""),"",D74-E74)</f>
        <v>-0.624800000000001</v>
      </c>
      <c r="H74" s="10" t="n">
        <v>307.671</v>
      </c>
      <c r="I74" s="7" t="n">
        <f aca="false">IF(OR(H74="",H62=""),"",H74/H62-1)</f>
        <v>0.032411446518932</v>
      </c>
      <c r="J74" s="10" t="n">
        <v>3.9</v>
      </c>
      <c r="K74" s="8" t="n">
        <v>0.27</v>
      </c>
      <c r="L74" s="11" t="n">
        <v>28464.306</v>
      </c>
      <c r="M74" s="7" t="n">
        <f aca="false">IF(OR(L74="",L62=""),"",L74/L62-1)</f>
        <v>0.0631277214482928</v>
      </c>
      <c r="N74" s="12" t="n">
        <v>119.6194</v>
      </c>
      <c r="O74" s="11" t="n">
        <v>1026.798</v>
      </c>
      <c r="P74" s="7" t="n">
        <f aca="false">IF(OR(O74="",L74="",L74=0),"",O74/L74)</f>
        <v>0.0360731788085752</v>
      </c>
      <c r="Q74" s="6" t="n">
        <v>20737.4</v>
      </c>
      <c r="R74" s="7" t="n">
        <f aca="false">IF(OR(Q74="",Q62=""),"",Q74/Q62-1)</f>
        <v>-0.033861033721266</v>
      </c>
      <c r="S74" s="8" t="n">
        <v>7.9372</v>
      </c>
      <c r="T74" s="10" t="n">
        <v>100.4689</v>
      </c>
      <c r="U74" s="7" t="n">
        <f aca="false">IF(OR(T74="",T62=""),"",T74/T62-1)</f>
        <v>-0.00774298810206908</v>
      </c>
      <c r="V74" s="6" t="n">
        <v>667815</v>
      </c>
      <c r="W74" s="7" t="n">
        <f aca="false">IF(OR(V74="",V62=""),"",V74/V62-1)</f>
        <v>0.00133598431005622</v>
      </c>
      <c r="X74" s="6" t="n">
        <v>19060</v>
      </c>
      <c r="Y74" s="7" t="n">
        <f aca="false">IF(OR(X74="",X62=""),"",X74/X62-1)</f>
        <v>0.0537431100348851</v>
      </c>
      <c r="Z74" s="6" t="n">
        <v>17435.9</v>
      </c>
      <c r="AA74" s="7" t="n">
        <f aca="false">IF(OR(Z74="",Z62=""),"",Z74/Z62-1)</f>
        <v>0.0579908010825112</v>
      </c>
      <c r="AB74" s="10" t="n">
        <v>312.792</v>
      </c>
      <c r="AC74" s="7" t="n">
        <f aca="false">IF(OR(AB74="",AB62=""),"",AB74/AB62-1)</f>
        <v>0.047858334505839</v>
      </c>
      <c r="AD74" s="8" t="n">
        <v>90.6</v>
      </c>
      <c r="AE74" s="8" t="n">
        <v>85.6395</v>
      </c>
      <c r="AF74" s="6" t="n">
        <v>1916</v>
      </c>
      <c r="AG74" s="7" t="n">
        <f aca="false">IF(OR(AF74="",AF62=""),"",AF74/AF62-1)</f>
        <v>0.151442307692308</v>
      </c>
      <c r="AH74" s="10" t="n">
        <v>18.14</v>
      </c>
      <c r="AI74" s="13" t="n">
        <v>1.0565</v>
      </c>
      <c r="AJ74" s="8" t="n">
        <v>5.78</v>
      </c>
    </row>
    <row r="75" customFormat="false" ht="15" hidden="false" customHeight="false" outlineLevel="0" collapsed="false">
      <c r="A75" s="5" t="n">
        <v>45231</v>
      </c>
      <c r="B75" s="6" t="n">
        <v>4460.06</v>
      </c>
      <c r="C75" s="7" t="n">
        <f aca="false">IF(OR(B75="",B63=""),"",B75/B63-1)</f>
        <v>0.138499803164711</v>
      </c>
      <c r="D75" s="8" t="n">
        <v>4.5</v>
      </c>
      <c r="E75" s="8" t="n">
        <v>5.2814</v>
      </c>
      <c r="F75" s="8" t="n">
        <v>5.33</v>
      </c>
      <c r="G75" s="9" t="n">
        <f aca="false">IF(OR(D75="",E75=""),"",D75-E75)</f>
        <v>-0.7814</v>
      </c>
      <c r="H75" s="10" t="n">
        <v>307.051</v>
      </c>
      <c r="I75" s="7" t="n">
        <f aca="false">IF(OR(H75="",H63=""),"",H75/H63-1)</f>
        <v>0.0313727070884178</v>
      </c>
      <c r="J75" s="10" t="n">
        <v>3.7</v>
      </c>
      <c r="K75" s="8" t="n">
        <v>0.27</v>
      </c>
      <c r="L75" s="11" t="n">
        <v>28464.306</v>
      </c>
      <c r="M75" s="7" t="n">
        <f aca="false">IF(OR(L75="",L63=""),"",L75/L63-1)</f>
        <v>0.0631277214482928</v>
      </c>
      <c r="N75" s="12" t="n">
        <v>119.6194</v>
      </c>
      <c r="O75" s="11" t="n">
        <v>1026.798</v>
      </c>
      <c r="P75" s="7" t="n">
        <f aca="false">IF(OR(O75="",L75="",L75=0),"",O75/L75)</f>
        <v>0.0360731788085752</v>
      </c>
      <c r="Q75" s="6" t="n">
        <v>20749.7</v>
      </c>
      <c r="R75" s="7" t="n">
        <f aca="false">IF(OR(Q75="",Q63=""),"",Q75/Q63-1)</f>
        <v>-0.0308180947710128</v>
      </c>
      <c r="S75" s="8" t="n">
        <v>7.8299</v>
      </c>
      <c r="T75" s="10" t="n">
        <v>100.8639</v>
      </c>
      <c r="U75" s="7" t="n">
        <f aca="false">IF(OR(T75="",T63=""),"",T75/T63-1)</f>
        <v>-0.000904361538583531</v>
      </c>
      <c r="V75" s="6" t="n">
        <v>666419</v>
      </c>
      <c r="W75" s="7" t="n">
        <f aca="false">IF(OR(V75="",V63=""),"",V75/V63-1)</f>
        <v>0.0152480918937858</v>
      </c>
      <c r="X75" s="6" t="n">
        <v>19136.3</v>
      </c>
      <c r="Y75" s="7" t="n">
        <f aca="false">IF(OR(X75="",X63=""),"",X75/X63-1)</f>
        <v>0.0586988874320205</v>
      </c>
      <c r="Z75" s="6" t="n">
        <v>17524.8</v>
      </c>
      <c r="AA75" s="7" t="n">
        <f aca="false">IF(OR(Z75="",Z63=""),"",Z75/Z63-1)</f>
        <v>0.0613886331702116</v>
      </c>
      <c r="AB75" s="10" t="n">
        <v>312.033</v>
      </c>
      <c r="AC75" s="7" t="n">
        <f aca="false">IF(OR(AB75="",AB63=""),"",AB75/AB63-1)</f>
        <v>0.0517139101418991</v>
      </c>
      <c r="AD75" s="8" t="n">
        <v>82.94</v>
      </c>
      <c r="AE75" s="8" t="n">
        <v>77.685</v>
      </c>
      <c r="AF75" s="6" t="n">
        <v>1984</v>
      </c>
      <c r="AG75" s="7" t="n">
        <f aca="false">IF(OR(AF75="",AF63=""),"",AF75/AF63-1)</f>
        <v>0.150144927536232</v>
      </c>
      <c r="AH75" s="10" t="n">
        <v>12.92</v>
      </c>
      <c r="AI75" s="13" t="n">
        <v>1.0819</v>
      </c>
      <c r="AJ75" s="8" t="n">
        <v>5.53</v>
      </c>
    </row>
    <row r="76" customFormat="false" ht="15" hidden="false" customHeight="false" outlineLevel="0" collapsed="false">
      <c r="A76" s="5" t="n">
        <v>45261</v>
      </c>
      <c r="B76" s="6" t="n">
        <v>4685.05</v>
      </c>
      <c r="C76" s="7" t="n">
        <f aca="false">IF(OR(B76="",B64=""),"",B76/B64-1)</f>
        <v>0.197493291169751</v>
      </c>
      <c r="D76" s="8" t="n">
        <v>4.02</v>
      </c>
      <c r="E76" s="8" t="n">
        <v>4.959</v>
      </c>
      <c r="F76" s="8" t="n">
        <v>5.33</v>
      </c>
      <c r="G76" s="9" t="n">
        <f aca="false">IF(OR(D76="",E76=""),"",D76-E76)</f>
        <v>-0.939</v>
      </c>
      <c r="H76" s="10" t="n">
        <v>306.746</v>
      </c>
      <c r="I76" s="7" t="n">
        <f aca="false">IF(OR(H76="",H64=""),"",H76/H64-1)</f>
        <v>0.0335212283143023</v>
      </c>
      <c r="J76" s="10" t="n">
        <v>3.8</v>
      </c>
      <c r="K76" s="8" t="n">
        <v>0.3</v>
      </c>
      <c r="L76" s="11" t="n">
        <v>28464.306</v>
      </c>
      <c r="M76" s="7" t="n">
        <f aca="false">IF(OR(L76="",L64=""),"",L76/L64-1)</f>
        <v>0.0631277214482928</v>
      </c>
      <c r="N76" s="12" t="n">
        <v>119.6194</v>
      </c>
      <c r="O76" s="11" t="n">
        <v>1026.798</v>
      </c>
      <c r="P76" s="7" t="n">
        <f aca="false">IF(OR(O76="",L76="",L76=0),"",O76/L76)</f>
        <v>0.0360731788085752</v>
      </c>
      <c r="Q76" s="6" t="n">
        <v>20779.9</v>
      </c>
      <c r="R76" s="7" t="n">
        <f aca="false">IF(OR(Q76="",Q64=""),"",Q76/Q64-1)</f>
        <v>-0.0241062874532715</v>
      </c>
      <c r="S76" s="8" t="n">
        <v>7.7284</v>
      </c>
      <c r="T76" s="10" t="n">
        <v>100.6031</v>
      </c>
      <c r="U76" s="7" t="n">
        <f aca="false">IF(OR(T76="",T64=""),"",T76/T64-1)</f>
        <v>0.00838659107675532</v>
      </c>
      <c r="V76" s="6" t="n">
        <v>666963</v>
      </c>
      <c r="W76" s="7" t="n">
        <f aca="false">IF(OR(V76="",V64=""),"",V76/V64-1)</f>
        <v>0.0287796638927664</v>
      </c>
      <c r="X76" s="6" t="n">
        <v>19213</v>
      </c>
      <c r="Y76" s="7" t="n">
        <f aca="false">IF(OR(X76="",X64=""),"",X76/X64-1)</f>
        <v>0.062366257305738</v>
      </c>
      <c r="Z76" s="6" t="n">
        <v>17589.4</v>
      </c>
      <c r="AA76" s="7" t="n">
        <f aca="false">IF(OR(Z76="",Z64=""),"",Z76/Z64-1)</f>
        <v>0.0602091558421989</v>
      </c>
      <c r="AB76" s="10" t="n">
        <v>310.85</v>
      </c>
      <c r="AC76" s="7" t="n">
        <f aca="false">IF(OR(AB76="",AB64=""),"",AB76/AB64-1)</f>
        <v>0.0566623949201344</v>
      </c>
      <c r="AD76" s="8" t="n">
        <v>77.63</v>
      </c>
      <c r="AE76" s="8" t="n">
        <v>71.9</v>
      </c>
      <c r="AF76" s="6" t="n">
        <v>2026</v>
      </c>
      <c r="AG76" s="7" t="n">
        <f aca="false">IF(OR(AF76="",AF64=""),"",AF76/AF64-1)</f>
        <v>0.126807563959956</v>
      </c>
      <c r="AH76" s="10" t="n">
        <v>12.45</v>
      </c>
      <c r="AI76" s="13" t="n">
        <v>1.0909</v>
      </c>
      <c r="AJ76" s="8" t="n">
        <v>5.06</v>
      </c>
    </row>
    <row r="77" customFormat="false" ht="15" hidden="false" customHeight="false" outlineLevel="0" collapsed="false">
      <c r="A77" s="5" t="n">
        <v>45292</v>
      </c>
      <c r="B77" s="6" t="n">
        <v>4804.49</v>
      </c>
      <c r="C77" s="7" t="n">
        <f aca="false">IF(OR(B77="",B65=""),"",B77/B65-1)</f>
        <v>0.213053946990859</v>
      </c>
      <c r="D77" s="8" t="n">
        <v>4.06</v>
      </c>
      <c r="E77" s="8" t="n">
        <v>4.7905</v>
      </c>
      <c r="F77" s="8" t="n">
        <v>5.33</v>
      </c>
      <c r="G77" s="9" t="n">
        <f aca="false">IF(OR(D77="",E77=""),"",D77-E77)</f>
        <v>-0.7305</v>
      </c>
      <c r="H77" s="10" t="n">
        <v>308.417</v>
      </c>
      <c r="I77" s="7" t="n">
        <f aca="false">IF(OR(H77="",H65=""),"",H77/H65-1)</f>
        <v>0.0309088478122805</v>
      </c>
      <c r="J77" s="10" t="n">
        <v>3.7</v>
      </c>
      <c r="K77" s="8" t="n">
        <v>0.23</v>
      </c>
      <c r="L77" s="11" t="n">
        <v>28793.191</v>
      </c>
      <c r="M77" s="7" t="n">
        <f aca="false">IF(OR(L77="",L65=""),"",L77/L65-1)</f>
        <v>0.0569690148943798</v>
      </c>
      <c r="N77" s="12" t="n">
        <v>120.4763</v>
      </c>
      <c r="O77" s="11" t="n">
        <v>1062.76</v>
      </c>
      <c r="P77" s="7" t="n">
        <f aca="false">IF(OR(O77="",L77="",L77=0),"",O77/L77)</f>
        <v>0.0369101153116374</v>
      </c>
      <c r="Q77" s="6" t="n">
        <v>20835.5</v>
      </c>
      <c r="R77" s="7" t="n">
        <f aca="false">IF(OR(Q77="",Q65=""),"",Q77/Q65-1)</f>
        <v>-0.0206120146657892</v>
      </c>
      <c r="S77" s="8" t="n">
        <v>7.6698</v>
      </c>
      <c r="T77" s="10" t="n">
        <v>99.2223</v>
      </c>
      <c r="U77" s="7" t="n">
        <f aca="false">IF(OR(T77="",T65=""),"",T77/T65-1)</f>
        <v>-0.012762549126909</v>
      </c>
      <c r="V77" s="6" t="n">
        <v>660602</v>
      </c>
      <c r="W77" s="7" t="n">
        <f aca="false">IF(OR(V77="",V65=""),"",V77/V65-1)</f>
        <v>-0.0208168432036949</v>
      </c>
      <c r="X77" s="6" t="n">
        <v>19239.6</v>
      </c>
      <c r="Y77" s="7" t="n">
        <f aca="false">IF(OR(X77="",X65=""),"",X77/X65-1)</f>
        <v>0.0447900601689946</v>
      </c>
      <c r="Z77" s="6" t="n">
        <v>17679.6</v>
      </c>
      <c r="AA77" s="7" t="n">
        <f aca="false">IF(OR(Z77="",Z65=""),"",Z77/Z65-1)</f>
        <v>0.0453940716300354</v>
      </c>
      <c r="AB77" s="10" t="n">
        <v>310.713</v>
      </c>
      <c r="AC77" s="7" t="n">
        <f aca="false">IF(OR(AB77="",AB65=""),"",AB77/AB65-1)</f>
        <v>0.0616460120749922</v>
      </c>
      <c r="AD77" s="8" t="n">
        <v>80.12</v>
      </c>
      <c r="AE77" s="8" t="n">
        <v>74.1524</v>
      </c>
      <c r="AF77" s="6" t="n">
        <v>2034</v>
      </c>
      <c r="AG77" s="7" t="n">
        <f aca="false">IF(OR(AF77="",AF65=""),"",AF77/AF65-1)</f>
        <v>0.0716543730242361</v>
      </c>
      <c r="AH77" s="10" t="n">
        <v>14.35</v>
      </c>
      <c r="AI77" s="13" t="n">
        <v>1.0899</v>
      </c>
      <c r="AJ77" s="8" t="n">
        <v>4.91</v>
      </c>
    </row>
    <row r="78" customFormat="false" ht="15" hidden="false" customHeight="false" outlineLevel="0" collapsed="false">
      <c r="A78" s="5" t="n">
        <v>45323</v>
      </c>
      <c r="B78" s="6" t="n">
        <v>5011.96</v>
      </c>
      <c r="C78" s="7" t="n">
        <f aca="false">IF(OR(B78="",B66=""),"",B78/B66-1)</f>
        <v>0.228516507660506</v>
      </c>
      <c r="D78" s="8" t="n">
        <v>4.21</v>
      </c>
      <c r="E78" s="8" t="n">
        <v>4.9225</v>
      </c>
      <c r="F78" s="8" t="n">
        <v>5.33</v>
      </c>
      <c r="G78" s="9" t="n">
        <f aca="false">IF(OR(D78="",E78=""),"",D78-E78)</f>
        <v>-0.7125</v>
      </c>
      <c r="H78" s="10" t="n">
        <v>310.326</v>
      </c>
      <c r="I78" s="7" t="n">
        <f aca="false">IF(OR(H78="",H66=""),"",H78/H66-1)</f>
        <v>0.031531711208616</v>
      </c>
      <c r="J78" s="10" t="n">
        <v>3.9</v>
      </c>
      <c r="K78" s="8" t="n">
        <v>0.3</v>
      </c>
      <c r="L78" s="11" t="n">
        <v>28793.191</v>
      </c>
      <c r="M78" s="7" t="n">
        <f aca="false">IF(OR(L78="",L66=""),"",L78/L66-1)</f>
        <v>0.0569690148943798</v>
      </c>
      <c r="N78" s="12" t="n">
        <v>120.4763</v>
      </c>
      <c r="O78" s="11" t="n">
        <v>1062.76</v>
      </c>
      <c r="P78" s="7" t="n">
        <f aca="false">IF(OR(O78="",L78="",L78=0),"",O78/L78)</f>
        <v>0.0369101153116374</v>
      </c>
      <c r="Q78" s="6" t="n">
        <v>20921.7</v>
      </c>
      <c r="R78" s="7" t="n">
        <f aca="false">IF(OR(Q78="",Q66=""),"",Q78/Q66-1)</f>
        <v>-0.0149951507047956</v>
      </c>
      <c r="S78" s="8" t="n">
        <v>7.6037</v>
      </c>
      <c r="T78" s="10" t="n">
        <v>100.285</v>
      </c>
      <c r="U78" s="7" t="n">
        <f aca="false">IF(OR(T78="",T66=""),"",T78/T66-1)</f>
        <v>-0.00354326640275993</v>
      </c>
      <c r="V78" s="6" t="n">
        <v>664621</v>
      </c>
      <c r="W78" s="7" t="n">
        <f aca="false">IF(OR(V78="",V66=""),"",V78/V66-1)</f>
        <v>-0.000106816390147646</v>
      </c>
      <c r="X78" s="6" t="n">
        <v>19373.5</v>
      </c>
      <c r="Y78" s="7" t="n">
        <f aca="false">IF(OR(X78="",X66=""),"",X78/X66-1)</f>
        <v>0.0505040098470349</v>
      </c>
      <c r="Z78" s="6" t="n">
        <v>17681</v>
      </c>
      <c r="AA78" s="7" t="n">
        <f aca="false">IF(OR(Z78="",Z66=""),"",Z78/Z66-1)</f>
        <v>0.0398202765247973</v>
      </c>
      <c r="AB78" s="10" t="n">
        <v>312.625</v>
      </c>
      <c r="AC78" s="7" t="n">
        <f aca="false">IF(OR(AB78="",AB66=""),"",AB78/AB66-1)</f>
        <v>0.0652997662388999</v>
      </c>
      <c r="AD78" s="8" t="n">
        <v>83.48</v>
      </c>
      <c r="AE78" s="8" t="n">
        <v>77.249</v>
      </c>
      <c r="AF78" s="6" t="n">
        <v>2023</v>
      </c>
      <c r="AG78" s="7" t="n">
        <f aca="false">IF(OR(AF78="",AF66=""),"",AF78/AF66-1)</f>
        <v>0.090566037735849</v>
      </c>
      <c r="AH78" s="10" t="n">
        <v>13.4</v>
      </c>
      <c r="AI78" s="13" t="n">
        <v>1.0793</v>
      </c>
      <c r="AJ78" s="8" t="n">
        <v>4.99</v>
      </c>
    </row>
    <row r="79" customFormat="false" ht="15" hidden="false" customHeight="false" outlineLevel="0" collapsed="false">
      <c r="A79" s="5" t="n">
        <v>45352</v>
      </c>
      <c r="B79" s="6" t="n">
        <v>5170.57</v>
      </c>
      <c r="C79" s="7" t="n">
        <f aca="false">IF(OR(B79="",B67=""),"",B79/B67-1)</f>
        <v>0.302883457121755</v>
      </c>
      <c r="D79" s="8" t="n">
        <v>4.21</v>
      </c>
      <c r="E79" s="8" t="n">
        <v>4.9925</v>
      </c>
      <c r="F79" s="8" t="n">
        <v>5.33</v>
      </c>
      <c r="G79" s="9" t="n">
        <f aca="false">IF(OR(D79="",E79=""),"",D79-E79)</f>
        <v>-0.7825</v>
      </c>
      <c r="H79" s="10" t="n">
        <v>312.332</v>
      </c>
      <c r="I79" s="7" t="n">
        <f aca="false">IF(OR(H79="",H67=""),"",H79/H67-1)</f>
        <v>0.0347738507003803</v>
      </c>
      <c r="J79" s="10" t="n">
        <v>3.9</v>
      </c>
      <c r="K79" s="8" t="n">
        <v>0.33</v>
      </c>
      <c r="L79" s="11" t="n">
        <v>28793.191</v>
      </c>
      <c r="M79" s="7" t="n">
        <f aca="false">IF(OR(L79="",L67=""),"",L79/L67-1)</f>
        <v>0.0569690148943798</v>
      </c>
      <c r="N79" s="12" t="n">
        <v>120.4763</v>
      </c>
      <c r="O79" s="11" t="n">
        <v>1062.76</v>
      </c>
      <c r="P79" s="7" t="n">
        <f aca="false">IF(OR(O79="",L79="",L79=0),"",O79/L79)</f>
        <v>0.0369101153116374</v>
      </c>
      <c r="Q79" s="6" t="n">
        <v>20965.9</v>
      </c>
      <c r="R79" s="7" t="n">
        <f aca="false">IF(OR(Q79="",Q67=""),"",Q79/Q67-1)</f>
        <v>0.0011269058317378</v>
      </c>
      <c r="S79" s="8" t="n">
        <v>7.52</v>
      </c>
      <c r="T79" s="10" t="n">
        <v>100.4575</v>
      </c>
      <c r="U79" s="7" t="n">
        <f aca="false">IF(OR(T79="",T67=""),"",T79/T67-1)</f>
        <v>-0.00557312624665296</v>
      </c>
      <c r="V79" s="6" t="n">
        <v>664328</v>
      </c>
      <c r="W79" s="7" t="n">
        <f aca="false">IF(OR(V79="",V67=""),"",V79/V67-1)</f>
        <v>0.0140151966126634</v>
      </c>
      <c r="X79" s="6" t="n">
        <v>19513.7</v>
      </c>
      <c r="Y79" s="7" t="n">
        <f aca="false">IF(OR(X79="",X67=""),"",X79/X67-1)</f>
        <v>0.0557247737195474</v>
      </c>
      <c r="Z79" s="6" t="n">
        <v>17699.2</v>
      </c>
      <c r="AA79" s="7" t="n">
        <f aca="false">IF(OR(Z79="",Z67=""),"",Z79/Z67-1)</f>
        <v>0.0354769259571282</v>
      </c>
      <c r="AB79" s="10" t="n">
        <v>316.808</v>
      </c>
      <c r="AC79" s="7" t="n">
        <f aca="false">IF(OR(AB79="",AB67=""),"",AB79/AB67-1)</f>
        <v>0.0653198064448877</v>
      </c>
      <c r="AD79" s="8" t="n">
        <v>85.41</v>
      </c>
      <c r="AE79" s="8" t="n">
        <v>81.278</v>
      </c>
      <c r="AF79" s="6" t="n">
        <v>2158</v>
      </c>
      <c r="AG79" s="7" t="n">
        <f aca="false">IF(OR(AF79="",AF67=""),"",AF79/AF67-1)</f>
        <v>0.12807109252483</v>
      </c>
      <c r="AH79" s="10" t="n">
        <v>13.01</v>
      </c>
      <c r="AI79" s="13" t="n">
        <v>1.087</v>
      </c>
      <c r="AJ79" s="14"/>
    </row>
    <row r="80" customFormat="false" ht="15" hidden="false" customHeight="false" outlineLevel="0" collapsed="false">
      <c r="A80" s="5" t="n">
        <v>45383</v>
      </c>
      <c r="B80" s="6" t="n">
        <v>5112.49</v>
      </c>
      <c r="C80" s="7" t="n">
        <f aca="false">IF(OR(B80="",B68=""),"",B80/B68-1)</f>
        <v>0.240453824771245</v>
      </c>
      <c r="D80" s="8" t="n">
        <v>4.54</v>
      </c>
      <c r="E80" s="8" t="n">
        <v>5.135</v>
      </c>
      <c r="F80" s="8" t="n">
        <v>5.33</v>
      </c>
      <c r="G80" s="9" t="n">
        <f aca="false">IF(OR(D80="",E80=""),"",D80-E80)</f>
        <v>-0.595</v>
      </c>
      <c r="H80" s="10" t="n">
        <v>313.548</v>
      </c>
      <c r="I80" s="7" t="n">
        <f aca="false">IF(OR(H80="",H68=""),"",H80/H68-1)</f>
        <v>0.0335736395011916</v>
      </c>
      <c r="J80" s="10" t="n">
        <v>3.9</v>
      </c>
      <c r="K80" s="8" t="n">
        <v>0.4</v>
      </c>
      <c r="L80" s="11" t="n">
        <v>29232.964</v>
      </c>
      <c r="M80" s="7" t="n">
        <f aca="false">IF(OR(L80="",L68=""),"",L80/L68-1)</f>
        <v>0.0617071122260993</v>
      </c>
      <c r="N80" s="12" t="n">
        <v>119.5031</v>
      </c>
      <c r="O80" s="11" t="n">
        <v>1095.97</v>
      </c>
      <c r="P80" s="7" t="n">
        <f aca="false">IF(OR(O80="",L80="",L80=0),"",O80/L80)</f>
        <v>0.0374908955520213</v>
      </c>
      <c r="Q80" s="6" t="n">
        <v>20955.4</v>
      </c>
      <c r="R80" s="7" t="n">
        <f aca="false">IF(OR(Q80="",Q68=""),"",Q80/Q68-1)</f>
        <v>0.00949986029617222</v>
      </c>
      <c r="S80" s="8" t="n">
        <v>7.4214</v>
      </c>
      <c r="T80" s="10" t="n">
        <v>100.2434</v>
      </c>
      <c r="U80" s="7" t="n">
        <f aca="false">IF(OR(T80="",T68=""),"",T80/T68-1)</f>
        <v>-0.00997106258579994</v>
      </c>
      <c r="V80" s="6" t="n">
        <v>664858</v>
      </c>
      <c r="W80" s="7" t="n">
        <f aca="false">IF(OR(V80="",V68=""),"",V80/V68-1)</f>
        <v>0.00894740516145087</v>
      </c>
      <c r="X80" s="6" t="n">
        <v>19582.2</v>
      </c>
      <c r="Y80" s="7" t="n">
        <f aca="false">IF(OR(X80="",X68=""),"",X80/X68-1)</f>
        <v>0.0541836915970866</v>
      </c>
      <c r="Z80" s="6" t="n">
        <v>17747.2</v>
      </c>
      <c r="AA80" s="7" t="n">
        <f aca="false">IF(OR(Z80="",Z68=""),"",Z80/Z68-1)</f>
        <v>0.0348462937911089</v>
      </c>
      <c r="AB80" s="10" t="n">
        <v>320.748</v>
      </c>
      <c r="AC80" s="7" t="n">
        <f aca="false">IF(OR(AB80="",AB68=""),"",AB80/AB68-1)</f>
        <v>0.0638549101812296</v>
      </c>
      <c r="AD80" s="8" t="n">
        <v>89.94</v>
      </c>
      <c r="AE80" s="8" t="n">
        <v>85.3473</v>
      </c>
      <c r="AF80" s="6" t="n">
        <v>2331</v>
      </c>
      <c r="AG80" s="7" t="n">
        <f aca="false">IF(OR(AF80="",AF68=""),"",AF80/AF68-1)</f>
        <v>0.1655</v>
      </c>
      <c r="AH80" s="10" t="n">
        <v>15.65</v>
      </c>
      <c r="AI80" s="13" t="n">
        <v>1.0724</v>
      </c>
      <c r="AJ80" s="14"/>
    </row>
    <row r="81" customFormat="false" ht="15" hidden="false" customHeight="false" outlineLevel="0" collapsed="false">
      <c r="A81" s="5" t="n">
        <v>45413</v>
      </c>
      <c r="B81" s="6" t="n">
        <v>5235.23</v>
      </c>
      <c r="C81" s="7" t="n">
        <f aca="false">IF(OR(B81="",B69=""),"",B81/B69-1)</f>
        <v>0.262665534570529</v>
      </c>
      <c r="D81" s="8" t="n">
        <v>4.48</v>
      </c>
      <c r="E81" s="8" t="n">
        <v>5.1595</v>
      </c>
      <c r="F81" s="8" t="n">
        <v>5.33</v>
      </c>
      <c r="G81" s="9" t="n">
        <f aca="false">IF(OR(D81="",E81=""),"",D81-E81)</f>
        <v>-0.6795</v>
      </c>
      <c r="H81" s="10" t="n">
        <v>314.069</v>
      </c>
      <c r="I81" s="7" t="n">
        <f aca="false">IF(OR(H81="",H69=""),"",H81/H69-1)</f>
        <v>0.0326902905694002</v>
      </c>
      <c r="J81" s="10" t="n">
        <v>3.9</v>
      </c>
      <c r="K81" s="8" t="n">
        <v>0.4</v>
      </c>
      <c r="L81" s="11" t="n">
        <v>29232.964</v>
      </c>
      <c r="M81" s="7" t="n">
        <f aca="false">IF(OR(L81="",L69=""),"",L81/L69-1)</f>
        <v>0.0617071122260993</v>
      </c>
      <c r="N81" s="12" t="n">
        <v>119.5031</v>
      </c>
      <c r="O81" s="11" t="n">
        <v>1095.97</v>
      </c>
      <c r="P81" s="7" t="n">
        <f aca="false">IF(OR(O81="",L81="",L81=0),"",O81/L81)</f>
        <v>0.0374908955520213</v>
      </c>
      <c r="Q81" s="6" t="n">
        <v>21021.6</v>
      </c>
      <c r="R81" s="7" t="n">
        <f aca="false">IF(OR(Q81="",Q69=""),"",Q81/Q69-1)</f>
        <v>0.00922734212219245</v>
      </c>
      <c r="S81" s="8" t="n">
        <v>7.3208</v>
      </c>
      <c r="T81" s="10" t="n">
        <v>100.863</v>
      </c>
      <c r="U81" s="7" t="n">
        <f aca="false">IF(OR(T81="",T69=""),"",T81/T69-1)</f>
        <v>-0.000649964430300298</v>
      </c>
      <c r="V81" s="6" t="n">
        <v>667659</v>
      </c>
      <c r="W81" s="7" t="n">
        <f aca="false">IF(OR(V81="",V69=""),"",V81/V69-1)</f>
        <v>0.00808693302008301</v>
      </c>
      <c r="X81" s="6" t="n">
        <v>19689</v>
      </c>
      <c r="Y81" s="7" t="n">
        <f aca="false">IF(OR(X81="",X69=""),"",X81/X69-1)</f>
        <v>0.0581046657853159</v>
      </c>
      <c r="Z81" s="6" t="n">
        <v>17820.5</v>
      </c>
      <c r="AA81" s="7" t="n">
        <f aca="false">IF(OR(Z81="",Z69=""),"",Z81/Z69-1)</f>
        <v>0.035094648675964</v>
      </c>
      <c r="AB81" s="10" t="n">
        <v>323.696</v>
      </c>
      <c r="AC81" s="7" t="n">
        <f aca="false">IF(OR(AB81="",AB69=""),"",AB81/AB69-1)</f>
        <v>0.0600506289318477</v>
      </c>
      <c r="AD81" s="8" t="n">
        <v>81.75</v>
      </c>
      <c r="AE81" s="8" t="n">
        <v>80.0245</v>
      </c>
      <c r="AF81" s="6" t="n">
        <v>2351</v>
      </c>
      <c r="AG81" s="7" t="n">
        <f aca="false">IF(OR(AF81="",AF69=""),"",AF81/AF69-1)</f>
        <v>0.180220883534137</v>
      </c>
      <c r="AH81" s="10" t="n">
        <v>12.92</v>
      </c>
      <c r="AI81" s="13" t="n">
        <v>1.081</v>
      </c>
      <c r="AJ81" s="14"/>
    </row>
    <row r="82" customFormat="false" ht="15" hidden="false" customHeight="false" outlineLevel="0" collapsed="false">
      <c r="A82" s="5" t="n">
        <v>45444</v>
      </c>
      <c r="B82" s="6" t="n">
        <v>5415.14</v>
      </c>
      <c r="C82" s="7" t="n">
        <f aca="false">IF(OR(B82="",B70=""),"",B82/B70-1)</f>
        <v>0.246185338892319</v>
      </c>
      <c r="D82" s="8" t="n">
        <v>4.31</v>
      </c>
      <c r="E82" s="8" t="n">
        <v>5.1105</v>
      </c>
      <c r="F82" s="8" t="n">
        <v>5.33</v>
      </c>
      <c r="G82" s="9" t="n">
        <f aca="false">IF(OR(D82="",E82=""),"",D82-E82)</f>
        <v>-0.8005</v>
      </c>
      <c r="H82" s="10" t="n">
        <v>314.175</v>
      </c>
      <c r="I82" s="7" t="n">
        <f aca="false">IF(OR(H82="",H70=""),"",H82/H70-1)</f>
        <v>0.0297139710726331</v>
      </c>
      <c r="J82" s="10" t="n">
        <v>4.1</v>
      </c>
      <c r="K82" s="8" t="n">
        <v>0.43</v>
      </c>
      <c r="L82" s="11" t="n">
        <v>29232.964</v>
      </c>
      <c r="M82" s="7" t="n">
        <f aca="false">IF(OR(L82="",L70=""),"",L82/L70-1)</f>
        <v>0.0617071122260993</v>
      </c>
      <c r="N82" s="12" t="n">
        <v>119.5031</v>
      </c>
      <c r="O82" s="11" t="n">
        <v>1095.97</v>
      </c>
      <c r="P82" s="7" t="n">
        <f aca="false">IF(OR(O82="",L82="",L82=0),"",O82/L82)</f>
        <v>0.0374908955520213</v>
      </c>
      <c r="Q82" s="6" t="n">
        <v>21070.7</v>
      </c>
      <c r="R82" s="7" t="n">
        <f aca="false">IF(OR(Q82="",Q70=""),"",Q82/Q70-1)</f>
        <v>0.0130679987883975</v>
      </c>
      <c r="S82" s="8" t="n">
        <v>7.2496</v>
      </c>
      <c r="T82" s="10" t="n">
        <v>100.894</v>
      </c>
      <c r="U82" s="7" t="n">
        <f aca="false">IF(OR(T82="",T70=""),"",T82/T70-1)</f>
        <v>0.00773474923990913</v>
      </c>
      <c r="V82" s="6" t="n">
        <v>666040</v>
      </c>
      <c r="W82" s="7" t="n">
        <f aca="false">IF(OR(V82="",V70=""),"",V82/V70-1)</f>
        <v>0.0023537343711435</v>
      </c>
      <c r="X82" s="6" t="n">
        <v>19775.3</v>
      </c>
      <c r="Y82" s="7" t="n">
        <f aca="false">IF(OR(X82="",X70=""),"",X82/X70-1)</f>
        <v>0.0579099974321664</v>
      </c>
      <c r="Z82" s="6" t="n">
        <v>17869.8</v>
      </c>
      <c r="AA82" s="7" t="n">
        <f aca="false">IF(OR(Z82="",Z70=""),"",Z82/Z70-1)</f>
        <v>0.0355282296151638</v>
      </c>
      <c r="AB82" s="10" t="n">
        <v>325.256</v>
      </c>
      <c r="AC82" s="7" t="n">
        <f aca="false">IF(OR(AB82="",AB70=""),"",AB82/AB70-1)</f>
        <v>0.054967581225329</v>
      </c>
      <c r="AD82" s="8" t="n">
        <v>82.25</v>
      </c>
      <c r="AE82" s="8" t="n">
        <v>79.7674</v>
      </c>
      <c r="AF82" s="6" t="n">
        <v>2326</v>
      </c>
      <c r="AG82" s="7" t="n">
        <f aca="false">IF(OR(AF82="",AF70=""),"",AF82/AF70-1)</f>
        <v>0.197117858980957</v>
      </c>
      <c r="AH82" s="10" t="n">
        <v>12.44</v>
      </c>
      <c r="AI82" s="13" t="n">
        <v>1.0763</v>
      </c>
      <c r="AJ82" s="15" t="n">
        <v>4.71</v>
      </c>
    </row>
    <row r="83" customFormat="false" ht="15" hidden="false" customHeight="false" outlineLevel="0" collapsed="false">
      <c r="A83" s="5" t="n">
        <v>45474</v>
      </c>
      <c r="B83" s="6" t="n">
        <v>5538</v>
      </c>
      <c r="C83" s="7" t="n">
        <f aca="false">IF(OR(B83="",B71=""),"",B83/B71-1)</f>
        <v>0.228462123138798</v>
      </c>
      <c r="D83" s="8" t="n">
        <v>4.25</v>
      </c>
      <c r="E83" s="8" t="n">
        <v>4.8973</v>
      </c>
      <c r="F83" s="8" t="n">
        <v>5.33</v>
      </c>
      <c r="G83" s="9" t="n">
        <f aca="false">IF(OR(D83="",E83=""),"",D83-E83)</f>
        <v>-0.6473</v>
      </c>
      <c r="H83" s="10" t="n">
        <v>314.54</v>
      </c>
      <c r="I83" s="7" t="n">
        <f aca="false">IF(OR(H83="",H71=""),"",H83/H71-1)</f>
        <v>0.0289475319849131</v>
      </c>
      <c r="J83" s="10" t="n">
        <v>4.2</v>
      </c>
      <c r="K83" s="8" t="n">
        <v>0.5</v>
      </c>
      <c r="L83" s="11" t="n">
        <v>29568.256</v>
      </c>
      <c r="M83" s="7" t="n">
        <f aca="false">IF(OR(L83="",L71=""),"",L83/L71-1)</f>
        <v>0.0535997108327129</v>
      </c>
      <c r="N83" s="12" t="n">
        <v>120.1717</v>
      </c>
      <c r="O83" s="11" t="n">
        <v>1145.002</v>
      </c>
      <c r="P83" s="7" t="n">
        <f aca="false">IF(OR(O83="",L83="",L83=0),"",O83/L83)</f>
        <v>0.0387240289045117</v>
      </c>
      <c r="Q83" s="6" t="n">
        <v>21098.9</v>
      </c>
      <c r="R83" s="7" t="n">
        <f aca="false">IF(OR(Q83="",Q71=""),"",Q83/Q71-1)</f>
        <v>0.0147507238291282</v>
      </c>
      <c r="S83" s="8" t="n">
        <v>7.2075</v>
      </c>
      <c r="T83" s="10" t="n">
        <v>99.9757</v>
      </c>
      <c r="U83" s="7" t="n">
        <f aca="false">IF(OR(T83="",T71=""),"",T83/T71-1)</f>
        <v>-0.0092263447323121</v>
      </c>
      <c r="V83" s="6" t="n">
        <v>673662</v>
      </c>
      <c r="W83" s="7" t="n">
        <f aca="false">IF(OR(V83="",V71=""),"",V83/V71-1)</f>
        <v>0.0154825736255089</v>
      </c>
      <c r="X83" s="6" t="n">
        <v>19863.6</v>
      </c>
      <c r="Y83" s="7" t="n">
        <f aca="false">IF(OR(X83="",X71=""),"",X83/X71-1)</f>
        <v>0.0570467655761084</v>
      </c>
      <c r="Z83" s="6" t="n">
        <v>17862.8</v>
      </c>
      <c r="AA83" s="7" t="n">
        <f aca="false">IF(OR(Z83="",Z71=""),"",Z83/Z71-1)</f>
        <v>0.0322215287890344</v>
      </c>
      <c r="AB83" s="10" t="n">
        <v>325.566</v>
      </c>
      <c r="AC83" s="7" t="n">
        <f aca="false">IF(OR(AB83="",AB71=""),"",AB83/AB71-1)</f>
        <v>0.049457970556664</v>
      </c>
      <c r="AD83" s="8" t="n">
        <v>85.15</v>
      </c>
      <c r="AE83" s="8" t="n">
        <v>81.8005</v>
      </c>
      <c r="AF83" s="6" t="n">
        <v>2398</v>
      </c>
      <c r="AG83" s="7" t="n">
        <f aca="false">IF(OR(AF83="",AF71=""),"",AF83/AF71-1)</f>
        <v>0.229113275243465</v>
      </c>
      <c r="AH83" s="10" t="n">
        <v>16.36</v>
      </c>
      <c r="AI83" s="13" t="n">
        <v>1.0847</v>
      </c>
      <c r="AJ83" s="14"/>
    </row>
    <row r="84" customFormat="false" ht="15" hidden="false" customHeight="false" outlineLevel="0" collapsed="false">
      <c r="A84" s="5" t="n">
        <v>45505</v>
      </c>
      <c r="B84" s="6" t="n">
        <v>5478.21</v>
      </c>
      <c r="C84" s="7" t="n">
        <f aca="false">IF(OR(B84="",B72=""),"",B84/B72-1)</f>
        <v>0.229026059760459</v>
      </c>
      <c r="D84" s="8" t="n">
        <v>3.87</v>
      </c>
      <c r="E84" s="8" t="n">
        <v>4.4264</v>
      </c>
      <c r="F84" s="8" t="n">
        <v>5.33</v>
      </c>
      <c r="G84" s="9" t="n">
        <f aca="false">IF(OR(D84="",E84=""),"",D84-E84)</f>
        <v>-0.5564</v>
      </c>
      <c r="H84" s="10" t="n">
        <v>314.796</v>
      </c>
      <c r="I84" s="7" t="n">
        <f aca="false">IF(OR(H84="",H72=""),"",H84/H72-1)</f>
        <v>0.0253073029645696</v>
      </c>
      <c r="J84" s="10" t="n">
        <v>4.2</v>
      </c>
      <c r="K84" s="8" t="n">
        <v>0.57</v>
      </c>
      <c r="L84" s="11" t="n">
        <v>29568.256</v>
      </c>
      <c r="M84" s="7" t="n">
        <f aca="false">IF(OR(L84="",L72=""),"",L84/L72-1)</f>
        <v>0.0535997108327129</v>
      </c>
      <c r="N84" s="12" t="n">
        <v>120.1717</v>
      </c>
      <c r="O84" s="11" t="n">
        <v>1145.002</v>
      </c>
      <c r="P84" s="7" t="n">
        <f aca="false">IF(OR(O84="",L84="",L84=0),"",O84/L84)</f>
        <v>0.0387240289045117</v>
      </c>
      <c r="Q84" s="6" t="n">
        <v>21192</v>
      </c>
      <c r="R84" s="7" t="n">
        <f aca="false">IF(OR(Q84="",Q72=""),"",Q84/Q72-1)</f>
        <v>0.0197286112982389</v>
      </c>
      <c r="S84" s="8" t="n">
        <v>7.154</v>
      </c>
      <c r="T84" s="10" t="n">
        <v>100.4309</v>
      </c>
      <c r="U84" s="7" t="n">
        <f aca="false">IF(OR(T84="",T72=""),"",T84/T72-1)</f>
        <v>-0.00405000828050173</v>
      </c>
      <c r="V84" s="6" t="n">
        <v>670668</v>
      </c>
      <c r="W84" s="7" t="n">
        <f aca="false">IF(OR(V84="",V72=""),"",V84/V72-1)</f>
        <v>0.00454741534258396</v>
      </c>
      <c r="X84" s="6" t="n">
        <v>19909.6</v>
      </c>
      <c r="Y84" s="7" t="n">
        <f aca="false">IF(OR(X84="",X72=""),"",X84/X72-1)</f>
        <v>0.055148656526578</v>
      </c>
      <c r="Z84" s="6" t="n">
        <v>17865.2</v>
      </c>
      <c r="AA84" s="7" t="n">
        <f aca="false">IF(OR(Z84="",Z72=""),"",Z84/Z72-1)</f>
        <v>0.029783554774188</v>
      </c>
      <c r="AB84" s="10" t="n">
        <v>325.003</v>
      </c>
      <c r="AC84" s="7" t="n">
        <f aca="false">IF(OR(AB84="",AB72=""),"",AB84/AB72-1)</f>
        <v>0.0430703857399151</v>
      </c>
      <c r="AD84" s="8" t="n">
        <v>80.36</v>
      </c>
      <c r="AE84" s="8" t="n">
        <v>76.6832</v>
      </c>
      <c r="AF84" s="6" t="n">
        <v>2470</v>
      </c>
      <c r="AG84" s="7" t="n">
        <f aca="false">IF(OR(AF84="",AF72=""),"",AF84/AF72-1)</f>
        <v>0.287128712871287</v>
      </c>
      <c r="AH84" s="10" t="n">
        <v>15</v>
      </c>
      <c r="AI84" s="13" t="n">
        <v>1.102</v>
      </c>
      <c r="AJ84" s="14"/>
    </row>
    <row r="85" customFormat="false" ht="15" hidden="false" customHeight="false" outlineLevel="0" collapsed="false">
      <c r="A85" s="5" t="n">
        <v>45536</v>
      </c>
      <c r="B85" s="6" t="n">
        <v>5621.26</v>
      </c>
      <c r="C85" s="7" t="n">
        <f aca="false">IF(OR(B85="",B73=""),"",B85/B73-1)</f>
        <v>0.244806533547988</v>
      </c>
      <c r="D85" s="8" t="n">
        <v>3.72</v>
      </c>
      <c r="E85" s="8" t="n">
        <v>4.028</v>
      </c>
      <c r="F85" s="8" t="n">
        <v>5.13</v>
      </c>
      <c r="G85" s="9" t="n">
        <f aca="false">IF(OR(D85="",E85=""),"",D85-E85)</f>
        <v>-0.307999999999999</v>
      </c>
      <c r="H85" s="10" t="n">
        <v>315.301</v>
      </c>
      <c r="I85" s="7" t="n">
        <f aca="false">IF(OR(H85="",H73=""),"",H85/H73-1)</f>
        <v>0.0244063303106998</v>
      </c>
      <c r="J85" s="10" t="n">
        <v>4.1</v>
      </c>
      <c r="K85" s="8" t="n">
        <v>0.53</v>
      </c>
      <c r="L85" s="11" t="n">
        <v>29568.256</v>
      </c>
      <c r="M85" s="7" t="n">
        <f aca="false">IF(OR(L85="",L73=""),"",L85/L73-1)</f>
        <v>0.0535997108327129</v>
      </c>
      <c r="N85" s="12" t="n">
        <v>120.1717</v>
      </c>
      <c r="O85" s="11" t="n">
        <v>1145.002</v>
      </c>
      <c r="P85" s="7" t="n">
        <f aca="false">IF(OR(O85="",L85="",L85=0),"",O85/L85)</f>
        <v>0.0387240289045117</v>
      </c>
      <c r="Q85" s="6" t="n">
        <v>21275.6</v>
      </c>
      <c r="R85" s="7" t="n">
        <f aca="false">IF(OR(Q85="",Q73=""),"",Q85/Q73-1)</f>
        <v>0.0251522627399583</v>
      </c>
      <c r="S85" s="8" t="n">
        <v>7.1042</v>
      </c>
      <c r="T85" s="10" t="n">
        <v>99.8084</v>
      </c>
      <c r="U85" s="7" t="n">
        <f aca="false">IF(OR(T85="",T73=""),"",T85/T73-1)</f>
        <v>-0.0120044228383971</v>
      </c>
      <c r="V85" s="6" t="n">
        <v>676005</v>
      </c>
      <c r="W85" s="7" t="n">
        <f aca="false">IF(OR(V85="",V73=""),"",V85/V73-1)</f>
        <v>0.00731489980569089</v>
      </c>
      <c r="X85" s="6" t="n">
        <v>20066.9</v>
      </c>
      <c r="Y85" s="7" t="n">
        <f aca="false">IF(OR(X85="",X73=""),"",X85/X73-1)</f>
        <v>0.0570093654857096</v>
      </c>
      <c r="Z85" s="6" t="n">
        <v>17875.4</v>
      </c>
      <c r="AA85" s="7" t="n">
        <f aca="false">IF(OR(Z85="",Z73=""),"",Z85/Z73-1)</f>
        <v>0.0291257664296614</v>
      </c>
      <c r="AB85" s="10" t="n">
        <v>324.621</v>
      </c>
      <c r="AC85" s="7" t="n">
        <f aca="false">IF(OR(AB85="",AB73=""),"",AB85/AB73-1)</f>
        <v>0.0389866854436052</v>
      </c>
      <c r="AD85" s="8" t="n">
        <v>74.02</v>
      </c>
      <c r="AE85" s="8" t="n">
        <v>70.236</v>
      </c>
      <c r="AF85" s="6" t="n">
        <v>2571</v>
      </c>
      <c r="AG85" s="7" t="n">
        <f aca="false">IF(OR(AF85="",AF73=""),"",AF85/AF73-1)</f>
        <v>0.341858037578288</v>
      </c>
      <c r="AH85" s="10" t="n">
        <v>16.73</v>
      </c>
      <c r="AI85" s="13" t="n">
        <v>1.1104</v>
      </c>
      <c r="AJ85" s="14"/>
    </row>
    <row r="86" customFormat="false" ht="15" hidden="false" customHeight="false" outlineLevel="0" collapsed="false">
      <c r="A86" s="5" t="n">
        <v>45566</v>
      </c>
      <c r="B86" s="6" t="n">
        <v>5792.32</v>
      </c>
      <c r="C86" s="7" t="n">
        <f aca="false">IF(OR(B86="",B74=""),"",B86/B74-1)</f>
        <v>0.35670586030824</v>
      </c>
      <c r="D86" s="8" t="n">
        <v>4.1</v>
      </c>
      <c r="E86" s="8" t="n">
        <v>4.2</v>
      </c>
      <c r="F86" s="8" t="n">
        <v>4.83</v>
      </c>
      <c r="G86" s="9" t="n">
        <f aca="false">IF(OR(D86="",E86=""),"",D86-E86)</f>
        <v>-0.100000000000001</v>
      </c>
      <c r="H86" s="10" t="n">
        <v>315.664</v>
      </c>
      <c r="I86" s="7" t="n">
        <f aca="false">IF(OR(H86="",H74=""),"",H86/H74-1)</f>
        <v>0.0259790490491467</v>
      </c>
      <c r="J86" s="10" t="n">
        <v>4.1</v>
      </c>
      <c r="K86" s="8" t="n">
        <v>0.4</v>
      </c>
      <c r="L86" s="11" t="n">
        <v>29929.552</v>
      </c>
      <c r="M86" s="7" t="n">
        <f aca="false">IF(OR(L86="",L74=""),"",L86/L74-1)</f>
        <v>0.0514766107418885</v>
      </c>
      <c r="N86" s="12" t="n">
        <v>121.4363</v>
      </c>
      <c r="O86" s="11" t="n">
        <v>1166.444</v>
      </c>
      <c r="P86" s="7" t="n">
        <f aca="false">IF(OR(O86="",L86="",L86=0),"",O86/L86)</f>
        <v>0.0389729856297214</v>
      </c>
      <c r="Q86" s="6" t="n">
        <v>21336.6</v>
      </c>
      <c r="R86" s="7" t="n">
        <f aca="false">IF(OR(Q86="",Q74=""),"",Q86/Q74-1)</f>
        <v>0.0288946541032142</v>
      </c>
      <c r="S86" s="8" t="n">
        <v>7.0352</v>
      </c>
      <c r="T86" s="10" t="n">
        <v>99.4695</v>
      </c>
      <c r="U86" s="7" t="n">
        <f aca="false">IF(OR(T86="",T74=""),"",T86/T74-1)</f>
        <v>-0.00994735684375969</v>
      </c>
      <c r="V86" s="6" t="n">
        <v>681808</v>
      </c>
      <c r="W86" s="7" t="n">
        <f aca="false">IF(OR(V86="",V74=""),"",V86/V74-1)</f>
        <v>0.0209534077551419</v>
      </c>
      <c r="X86" s="6" t="n">
        <v>20146.1</v>
      </c>
      <c r="Y86" s="7" t="n">
        <f aca="false">IF(OR(X86="",X74=""),"",X86/X74-1)</f>
        <v>0.0569832109129065</v>
      </c>
      <c r="Z86" s="6" t="n">
        <v>17914.4</v>
      </c>
      <c r="AA86" s="7" t="n">
        <f aca="false">IF(OR(Z86="",Z74=""),"",Z86/Z74-1)</f>
        <v>0.0274433783171502</v>
      </c>
      <c r="AB86" s="10" t="n">
        <v>323.937</v>
      </c>
      <c r="AC86" s="7" t="n">
        <f aca="false">IF(OR(AB86="",AB74=""),"",AB86/AB74-1)</f>
        <v>0.0356307066676898</v>
      </c>
      <c r="AD86" s="8" t="n">
        <v>75.63</v>
      </c>
      <c r="AE86" s="8" t="n">
        <v>71.985</v>
      </c>
      <c r="AF86" s="6" t="n">
        <v>2690</v>
      </c>
      <c r="AG86" s="7" t="n">
        <f aca="false">IF(OR(AF86="",AF74=""),"",AF86/AF74-1)</f>
        <v>0.403966597077244</v>
      </c>
      <c r="AH86" s="10" t="n">
        <v>23.16</v>
      </c>
      <c r="AI86" s="13" t="n">
        <v>1.0895</v>
      </c>
      <c r="AJ86" s="14"/>
    </row>
    <row r="87" customFormat="false" ht="15" hidden="false" customHeight="false" outlineLevel="0" collapsed="false">
      <c r="A87" s="5" t="n">
        <v>45597</v>
      </c>
      <c r="B87" s="6" t="n">
        <v>5929.92</v>
      </c>
      <c r="C87" s="7" t="n">
        <f aca="false">IF(OR(B87="",B75=""),"",B87/B75-1)</f>
        <v>0.329560588871002</v>
      </c>
      <c r="D87" s="8" t="n">
        <v>4.36</v>
      </c>
      <c r="E87" s="8" t="n">
        <v>4.3332</v>
      </c>
      <c r="F87" s="8" t="n">
        <v>4.64</v>
      </c>
      <c r="G87" s="9" t="n">
        <f aca="false">IF(OR(D87="",E87=""),"",D87-E87)</f>
        <v>0.0268000000000006</v>
      </c>
      <c r="H87" s="10" t="n">
        <v>315.493</v>
      </c>
      <c r="I87" s="7" t="n">
        <f aca="false">IF(OR(H87="",H75=""),"",H87/H75-1)</f>
        <v>0.0274938039609056</v>
      </c>
      <c r="J87" s="10" t="n">
        <v>4.2</v>
      </c>
      <c r="K87" s="8" t="n">
        <v>0.4</v>
      </c>
      <c r="L87" s="11" t="n">
        <v>29929.552</v>
      </c>
      <c r="M87" s="7" t="n">
        <f aca="false">IF(OR(L87="",L75=""),"",L87/L75-1)</f>
        <v>0.0514766107418885</v>
      </c>
      <c r="N87" s="12" t="n">
        <v>121.4363</v>
      </c>
      <c r="O87" s="11" t="n">
        <v>1166.444</v>
      </c>
      <c r="P87" s="7" t="n">
        <f aca="false">IF(OR(O87="",L87="",L87=0),"",O87/L87)</f>
        <v>0.0389729856297214</v>
      </c>
      <c r="Q87" s="6" t="n">
        <v>21454.7</v>
      </c>
      <c r="R87" s="7" t="n">
        <f aca="false">IF(OR(Q87="",Q75=""),"",Q87/Q75-1)</f>
        <v>0.0339763948394434</v>
      </c>
      <c r="S87" s="8" t="n">
        <v>6.9476</v>
      </c>
      <c r="T87" s="10" t="n">
        <v>99.2925</v>
      </c>
      <c r="U87" s="7" t="n">
        <f aca="false">IF(OR(T87="",T75=""),"",T87/T75-1)</f>
        <v>-0.0155794094814894</v>
      </c>
      <c r="V87" s="6" t="n">
        <v>685709</v>
      </c>
      <c r="W87" s="7" t="n">
        <f aca="false">IF(OR(V87="",V75=""),"",V87/V75-1)</f>
        <v>0.0289457533473685</v>
      </c>
      <c r="X87" s="6" t="n">
        <v>20251.8</v>
      </c>
      <c r="Y87" s="7" t="n">
        <f aca="false">IF(OR(X87="",X75=""),"",X87/X75-1)</f>
        <v>0.0582923553665025</v>
      </c>
      <c r="Z87" s="6" t="n">
        <v>17955.4</v>
      </c>
      <c r="AA87" s="7" t="n">
        <f aca="false">IF(OR(Z87="",Z75=""),"",Z87/Z75-1)</f>
        <v>0.0245708938190452</v>
      </c>
      <c r="AB87" s="10" t="n">
        <v>323.654</v>
      </c>
      <c r="AC87" s="7" t="n">
        <f aca="false">IF(OR(AB87="",AB75=""),"",AB87/AB75-1)</f>
        <v>0.0372428557235933</v>
      </c>
      <c r="AD87" s="8" t="n">
        <v>74.35</v>
      </c>
      <c r="AE87" s="8" t="n">
        <v>69.95</v>
      </c>
      <c r="AF87" s="6" t="n">
        <v>2651</v>
      </c>
      <c r="AG87" s="7" t="n">
        <f aca="false">IF(OR(AF87="",AF75=""),"",AF87/AF75-1)</f>
        <v>0.336189516129032</v>
      </c>
      <c r="AH87" s="10" t="n">
        <v>13.51</v>
      </c>
      <c r="AI87" s="13" t="n">
        <v>1.0621</v>
      </c>
      <c r="AJ87" s="14"/>
    </row>
    <row r="88" customFormat="false" ht="15" hidden="false" customHeight="false" outlineLevel="0" collapsed="false">
      <c r="A88" s="5" t="n">
        <v>45627</v>
      </c>
      <c r="B88" s="6" t="n">
        <v>6010.91</v>
      </c>
      <c r="C88" s="7" t="n">
        <f aca="false">IF(OR(B88="",B76=""),"",B88/B76-1)</f>
        <v>0.282998046979221</v>
      </c>
      <c r="D88" s="8" t="n">
        <v>4.39</v>
      </c>
      <c r="E88" s="8" t="n">
        <v>4.2338</v>
      </c>
      <c r="F88" s="8" t="n">
        <v>4.48</v>
      </c>
      <c r="G88" s="9" t="n">
        <f aca="false">IF(OR(D88="",E88=""),"",D88-E88)</f>
        <v>0.1562</v>
      </c>
      <c r="H88" s="10" t="n">
        <v>315.605</v>
      </c>
      <c r="I88" s="7" t="n">
        <f aca="false">IF(OR(H88="",H76=""),"",H88/H76-1)</f>
        <v>0.0288805721998007</v>
      </c>
      <c r="J88" s="10" t="n">
        <v>4.1</v>
      </c>
      <c r="K88" s="8" t="n">
        <v>0.4</v>
      </c>
      <c r="L88" s="11" t="n">
        <v>29929.552</v>
      </c>
      <c r="M88" s="7" t="n">
        <f aca="false">IF(OR(L88="",L76=""),"",L88/L76-1)</f>
        <v>0.0514766107418885</v>
      </c>
      <c r="N88" s="12" t="n">
        <v>121.4363</v>
      </c>
      <c r="O88" s="11" t="n">
        <v>1166.444</v>
      </c>
      <c r="P88" s="7" t="n">
        <f aca="false">IF(OR(O88="",L88="",L88=0),"",O88/L88)</f>
        <v>0.0389729856297214</v>
      </c>
      <c r="Q88" s="6" t="n">
        <v>21487.6</v>
      </c>
      <c r="R88" s="7" t="n">
        <f aca="false">IF(OR(Q88="",Q76=""),"",Q88/Q76-1)</f>
        <v>0.0340569492634708</v>
      </c>
      <c r="S88" s="8" t="n">
        <v>6.8922</v>
      </c>
      <c r="T88" s="10" t="n">
        <v>100.3273</v>
      </c>
      <c r="U88" s="7" t="n">
        <f aca="false">IF(OR(T88="",T76=""),"",T88/T76-1)</f>
        <v>-0.0027414662172438</v>
      </c>
      <c r="V88" s="6" t="n">
        <v>691794</v>
      </c>
      <c r="W88" s="7" t="n">
        <f aca="false">IF(OR(V88="",V76=""),"",V88/V76-1)</f>
        <v>0.0372299512866532</v>
      </c>
      <c r="X88" s="6" t="n">
        <v>20458.7</v>
      </c>
      <c r="Y88" s="7" t="n">
        <f aca="false">IF(OR(X88="",X76=""),"",X88/X76-1)</f>
        <v>0.0648363087492845</v>
      </c>
      <c r="Z88" s="6" t="n">
        <v>17963.9</v>
      </c>
      <c r="AA88" s="7" t="n">
        <f aca="false">IF(OR(Z88="",Z76=""),"",Z88/Z76-1)</f>
        <v>0.0212912322194048</v>
      </c>
      <c r="AB88" s="10" t="n">
        <v>323.275</v>
      </c>
      <c r="AC88" s="7" t="n">
        <f aca="false">IF(OR(AB88="",AB76=""),"",AB88/AB76-1)</f>
        <v>0.0399710471288401</v>
      </c>
      <c r="AD88" s="8" t="n">
        <v>73.86</v>
      </c>
      <c r="AE88" s="8" t="n">
        <v>70.1181</v>
      </c>
      <c r="AF88" s="6" t="n">
        <v>2648</v>
      </c>
      <c r="AG88" s="7" t="n">
        <f aca="false">IF(OR(AF88="",AF76=""),"",AF88/AF76-1)</f>
        <v>0.307008884501481</v>
      </c>
      <c r="AH88" s="10" t="n">
        <v>17.35</v>
      </c>
      <c r="AI88" s="13" t="n">
        <v>1.0472</v>
      </c>
      <c r="AJ88" s="15" t="n">
        <v>4.25</v>
      </c>
    </row>
    <row r="89" customFormat="false" ht="15" hidden="false" customHeight="false" outlineLevel="0" collapsed="false">
      <c r="A89" s="5" t="n">
        <v>45658</v>
      </c>
      <c r="B89" s="6" t="n">
        <v>5979.52</v>
      </c>
      <c r="C89" s="7" t="n">
        <f aca="false">IF(OR(B89="",B77=""),"",B89/B77-1)</f>
        <v>0.244569142614513</v>
      </c>
      <c r="D89" s="8" t="n">
        <v>4.63</v>
      </c>
      <c r="E89" s="8" t="n">
        <v>4.1848</v>
      </c>
      <c r="F89" s="8" t="n">
        <v>4.33</v>
      </c>
      <c r="G89" s="9" t="n">
        <f aca="false">IF(OR(D89="",E89=""),"",D89-E89)</f>
        <v>0.4452</v>
      </c>
      <c r="H89" s="10" t="n">
        <v>317.671</v>
      </c>
      <c r="I89" s="7" t="n">
        <f aca="false">IF(OR(H89="",H77=""),"",H89/H77-1)</f>
        <v>0.0300048311215011</v>
      </c>
      <c r="J89" s="10" t="n">
        <v>4</v>
      </c>
      <c r="K89" s="8" t="n">
        <v>0.37</v>
      </c>
      <c r="L89" s="11" t="n">
        <v>30171.979</v>
      </c>
      <c r="M89" s="7" t="n">
        <f aca="false">IF(OR(L89="",L77=""),"",L89/L77-1)</f>
        <v>0.0478859046918418</v>
      </c>
      <c r="N89" s="12" t="n">
        <v>120.5452</v>
      </c>
      <c r="O89" s="11" t="n">
        <v>1170.484</v>
      </c>
      <c r="P89" s="7" t="n">
        <f aca="false">IF(OR(O89="",L89="",L89=0),"",O89/L89)</f>
        <v>0.038793743028921</v>
      </c>
      <c r="Q89" s="6" t="n">
        <v>21539.3</v>
      </c>
      <c r="R89" s="7" t="n">
        <f aca="false">IF(OR(Q89="",Q77=""),"",Q89/Q77-1)</f>
        <v>0.0337788869957525</v>
      </c>
      <c r="S89" s="8" t="n">
        <v>6.838</v>
      </c>
      <c r="T89" s="10" t="n">
        <v>100.0647</v>
      </c>
      <c r="U89" s="7" t="n">
        <f aca="false">IF(OR(T89="",T77=""),"",T89/T77-1)</f>
        <v>0.00849002693950851</v>
      </c>
      <c r="V89" s="6" t="n">
        <v>687058</v>
      </c>
      <c r="W89" s="7" t="n">
        <f aca="false">IF(OR(V89="",V77=""),"",V89/V77-1)</f>
        <v>0.0400483195630652</v>
      </c>
      <c r="X89" s="6" t="n">
        <v>20400.4</v>
      </c>
      <c r="Y89" s="7" t="n">
        <f aca="false">IF(OR(X89="",X77=""),"",X89/X77-1)</f>
        <v>0.0603338946755652</v>
      </c>
      <c r="Z89" s="6" t="n">
        <v>17955.6</v>
      </c>
      <c r="AA89" s="7" t="n">
        <f aca="false">IF(OR(Z89="",Z77=""),"",Z89/Z77-1)</f>
        <v>0.0156112129233692</v>
      </c>
      <c r="AB89" s="10" t="n">
        <v>323.631</v>
      </c>
      <c r="AC89" s="7" t="n">
        <f aca="false">IF(OR(AB89="",AB77=""),"",AB89/AB77-1)</f>
        <v>0.0415753444497009</v>
      </c>
      <c r="AD89" s="8" t="n">
        <v>79.27</v>
      </c>
      <c r="AE89" s="8" t="n">
        <v>75.7425</v>
      </c>
      <c r="AF89" s="6" t="n">
        <v>2710</v>
      </c>
      <c r="AG89" s="7" t="n">
        <f aca="false">IF(OR(AF89="",AF77=""),"",AF89/AF77-1)</f>
        <v>0.332350049164208</v>
      </c>
      <c r="AH89" s="10" t="n">
        <v>16.43</v>
      </c>
      <c r="AI89" s="13" t="n">
        <v>1.0356</v>
      </c>
      <c r="AJ89" s="14"/>
    </row>
    <row r="90" customFormat="false" ht="15" hidden="false" customHeight="false" outlineLevel="0" collapsed="false">
      <c r="A90" s="5" t="n">
        <v>45689</v>
      </c>
      <c r="B90" s="6" t="n">
        <v>6038.69</v>
      </c>
      <c r="C90" s="7" t="n">
        <f aca="false">IF(OR(B90="",B78=""),"",B90/B78-1)</f>
        <v>0.204855984485111</v>
      </c>
      <c r="D90" s="8" t="n">
        <v>4.45</v>
      </c>
      <c r="E90" s="8" t="n">
        <v>4.1942</v>
      </c>
      <c r="F90" s="8" t="n">
        <v>4.33</v>
      </c>
      <c r="G90" s="9" t="n">
        <f aca="false">IF(OR(D90="",E90=""),"",D90-E90)</f>
        <v>0.2558</v>
      </c>
      <c r="H90" s="10" t="n">
        <v>319.082</v>
      </c>
      <c r="I90" s="7" t="n">
        <f aca="false">IF(OR(H90="",H78=""),"",H90/H78-1)</f>
        <v>0.0282154895174751</v>
      </c>
      <c r="J90" s="10" t="n">
        <v>4.2</v>
      </c>
      <c r="K90" s="8" t="n">
        <v>0.3</v>
      </c>
      <c r="L90" s="11" t="n">
        <v>30171.979</v>
      </c>
      <c r="M90" s="7" t="n">
        <f aca="false">IF(OR(L90="",L78=""),"",L90/L78-1)</f>
        <v>0.0478859046918418</v>
      </c>
      <c r="N90" s="12" t="n">
        <v>120.5452</v>
      </c>
      <c r="O90" s="11" t="n">
        <v>1170.484</v>
      </c>
      <c r="P90" s="7" t="n">
        <f aca="false">IF(OR(O90="",L90="",L90=0),"",O90/L90)</f>
        <v>0.038793743028921</v>
      </c>
      <c r="Q90" s="6" t="n">
        <v>21607.2</v>
      </c>
      <c r="R90" s="7" t="n">
        <f aca="false">IF(OR(Q90="",Q78=""),"",Q90/Q78-1)</f>
        <v>0.032765023874733</v>
      </c>
      <c r="S90" s="8" t="n">
        <v>6.7932</v>
      </c>
      <c r="T90" s="10" t="n">
        <v>101.0993</v>
      </c>
      <c r="U90" s="7" t="n">
        <f aca="false">IF(OR(T90="",T78=""),"",T90/T78-1)</f>
        <v>0.00811985840355001</v>
      </c>
      <c r="V90" s="6" t="n">
        <v>683772</v>
      </c>
      <c r="W90" s="7" t="n">
        <f aca="false">IF(OR(V90="",V78=""),"",V90/V78-1)</f>
        <v>0.0288149185776556</v>
      </c>
      <c r="X90" s="6" t="n">
        <v>20437.9</v>
      </c>
      <c r="Y90" s="7" t="n">
        <f aca="false">IF(OR(X90="",X78=""),"",X90/X78-1)</f>
        <v>0.0549410276924667</v>
      </c>
      <c r="Z90" s="6" t="n">
        <v>17957.4</v>
      </c>
      <c r="AA90" s="7" t="n">
        <f aca="false">IF(OR(Z90="",Z78=""),"",Z90/Z78-1)</f>
        <v>0.0156325999660654</v>
      </c>
      <c r="AB90" s="10" t="n">
        <v>325.097</v>
      </c>
      <c r="AC90" s="7" t="n">
        <f aca="false">IF(OR(AB90="",AB78=""),"",AB90/AB78-1)</f>
        <v>0.0398944422231107</v>
      </c>
      <c r="AD90" s="8" t="n">
        <v>75.44</v>
      </c>
      <c r="AE90" s="8" t="n">
        <v>71.5332</v>
      </c>
      <c r="AF90" s="6" t="n">
        <v>2895</v>
      </c>
      <c r="AG90" s="7" t="n">
        <f aca="false">IF(OR(AF90="",AF78=""),"",AF90/AF78-1)</f>
        <v>0.431043005437469</v>
      </c>
      <c r="AH90" s="10" t="n">
        <v>19.63</v>
      </c>
      <c r="AI90" s="13" t="n">
        <v>1.0413</v>
      </c>
      <c r="AJ90" s="14"/>
    </row>
    <row r="91" customFormat="false" ht="15" hidden="false" customHeight="false" outlineLevel="0" collapsed="false">
      <c r="A91" s="5" t="n">
        <v>45717</v>
      </c>
      <c r="B91" s="6" t="n">
        <v>5683.98</v>
      </c>
      <c r="C91" s="7" t="n">
        <f aca="false">IF(OR(B91="",B79=""),"",B91/B79-1)</f>
        <v>0.0992946619038133</v>
      </c>
      <c r="D91" s="8" t="n">
        <v>4.28</v>
      </c>
      <c r="E91" s="8" t="n">
        <v>4.0638</v>
      </c>
      <c r="F91" s="8" t="n">
        <v>4.33</v>
      </c>
      <c r="G91" s="9" t="n">
        <f aca="false">IF(OR(D91="",E91=""),"",D91-E91)</f>
        <v>0.216200000000001</v>
      </c>
      <c r="H91" s="10" t="n">
        <v>319.799</v>
      </c>
      <c r="I91" s="7" t="n">
        <f aca="false">IF(OR(H91="",H79=""),"",H91/H79-1)</f>
        <v>0.023907252538965</v>
      </c>
      <c r="J91" s="10" t="n">
        <v>4.2</v>
      </c>
      <c r="K91" s="8" t="n">
        <v>0.3</v>
      </c>
      <c r="L91" s="11" t="n">
        <v>30171.979</v>
      </c>
      <c r="M91" s="7" t="n">
        <f aca="false">IF(OR(L91="",L79=""),"",L91/L79-1)</f>
        <v>0.0478859046918418</v>
      </c>
      <c r="N91" s="12" t="n">
        <v>120.5452</v>
      </c>
      <c r="O91" s="11" t="n">
        <v>1170.484</v>
      </c>
      <c r="P91" s="7" t="n">
        <f aca="false">IF(OR(O91="",L91="",L91=0),"",O91/L91)</f>
        <v>0.038793743028921</v>
      </c>
      <c r="Q91" s="6" t="n">
        <v>21684.1</v>
      </c>
      <c r="R91" s="7" t="n">
        <f aca="false">IF(OR(Q91="",Q79=""),"",Q91/Q79-1)</f>
        <v>0.0342556246094847</v>
      </c>
      <c r="S91" s="8" t="n">
        <v>6.7531</v>
      </c>
      <c r="T91" s="10" t="n">
        <v>101.0404</v>
      </c>
      <c r="U91" s="7" t="n">
        <f aca="false">IF(OR(T91="",T79=""),"",T91/T79-1)</f>
        <v>0.00580245377398403</v>
      </c>
      <c r="V91" s="6" t="n">
        <v>694750</v>
      </c>
      <c r="W91" s="7" t="n">
        <f aca="false">IF(OR(V91="",V79=""),"",V91/V79-1)</f>
        <v>0.0457936441035152</v>
      </c>
      <c r="X91" s="6" t="n">
        <v>20594</v>
      </c>
      <c r="Y91" s="7" t="n">
        <f aca="false">IF(OR(X91="",X79=""),"",X91/X79-1)</f>
        <v>0.0553611052747556</v>
      </c>
      <c r="Z91" s="6" t="n">
        <v>18073</v>
      </c>
      <c r="AA91" s="7" t="n">
        <f aca="false">IF(OR(Z91="",Z79=""),"",Z91/Z79-1)</f>
        <v>0.0211195986259265</v>
      </c>
      <c r="AB91" s="10" t="n">
        <v>327.696</v>
      </c>
      <c r="AC91" s="7" t="n">
        <f aca="false">IF(OR(AB91="",AB79=""),"",AB91/AB79-1)</f>
        <v>0.0343678189944698</v>
      </c>
      <c r="AD91" s="8" t="n">
        <v>72.73</v>
      </c>
      <c r="AE91" s="8" t="n">
        <v>68.239</v>
      </c>
      <c r="AF91" s="6" t="n">
        <v>2983</v>
      </c>
      <c r="AG91" s="7" t="n">
        <f aca="false">IF(OR(AF91="",AF79=""),"",AF91/AF79-1)</f>
        <v>0.382298424467099</v>
      </c>
      <c r="AH91" s="10" t="n">
        <v>22.28</v>
      </c>
      <c r="AI91" s="13" t="n">
        <v>1.0813</v>
      </c>
      <c r="AJ91" s="14"/>
    </row>
    <row r="92" customFormat="false" ht="15" hidden="false" customHeight="false" outlineLevel="0" collapsed="false">
      <c r="A92" s="5" t="n">
        <v>45748</v>
      </c>
      <c r="B92" s="6" t="n">
        <v>5369.5</v>
      </c>
      <c r="C92" s="7" t="n">
        <f aca="false">IF(OR(B92="",B80=""),"",B92/B80-1)</f>
        <v>0.050271002975067</v>
      </c>
      <c r="D92" s="8" t="n">
        <v>4.28</v>
      </c>
      <c r="E92" s="8" t="n">
        <v>3.9529</v>
      </c>
      <c r="F92" s="8" t="n">
        <v>4.33</v>
      </c>
      <c r="G92" s="9" t="n">
        <f aca="false">IF(OR(D92="",E92=""),"",D92-E92)</f>
        <v>0.3271</v>
      </c>
      <c r="H92" s="10" t="n">
        <v>320.795</v>
      </c>
      <c r="I92" s="7" t="n">
        <f aca="false">IF(OR(H92="",H80=""),"",H92/H80-1)</f>
        <v>0.0231128886167349</v>
      </c>
      <c r="J92" s="10" t="n">
        <v>4.2</v>
      </c>
      <c r="K92" s="8" t="n">
        <v>0.3</v>
      </c>
      <c r="L92" s="11" t="n">
        <v>30630.174</v>
      </c>
      <c r="M92" s="7" t="n">
        <f aca="false">IF(OR(L92="",L80=""),"",L92/L80-1)</f>
        <v>0.0477957007712253</v>
      </c>
      <c r="N92" s="12" t="n">
        <v>118.7817</v>
      </c>
      <c r="O92" s="11" t="n">
        <v>1197.132</v>
      </c>
      <c r="P92" s="7" t="n">
        <f aca="false">IF(OR(O92="",L92="",L92=0),"",O92/L92)</f>
        <v>0.0390834214653825</v>
      </c>
      <c r="Q92" s="6" t="n">
        <v>21770.8</v>
      </c>
      <c r="R92" s="7" t="n">
        <f aca="false">IF(OR(Q92="",Q80=""),"",Q92/Q80-1)</f>
        <v>0.0389112114299892</v>
      </c>
      <c r="S92" s="8" t="n">
        <v>6.7228</v>
      </c>
      <c r="T92" s="10" t="n">
        <v>101.1279</v>
      </c>
      <c r="U92" s="7" t="n">
        <f aca="false">IF(OR(T92="",T80=""),"",T92/T80-1)</f>
        <v>0.00882352354369465</v>
      </c>
      <c r="V92" s="6" t="n">
        <v>695464</v>
      </c>
      <c r="W92" s="7" t="n">
        <f aca="false">IF(OR(V92="",V80=""),"",V92/V80-1)</f>
        <v>0.0460338899434165</v>
      </c>
      <c r="X92" s="6" t="n">
        <v>20654.2</v>
      </c>
      <c r="Y92" s="7" t="n">
        <f aca="false">IF(OR(X92="",X80=""),"",X92/X80-1)</f>
        <v>0.0547435936718039</v>
      </c>
      <c r="Z92" s="6" t="n">
        <v>18190.1</v>
      </c>
      <c r="AA92" s="7" t="n">
        <f aca="false">IF(OR(Z92="",Z80=""),"",Z92/Z80-1)</f>
        <v>0.0249560494049765</v>
      </c>
      <c r="AB92" s="10" t="n">
        <v>329.848</v>
      </c>
      <c r="AC92" s="7" t="n">
        <f aca="false">IF(OR(AB92="",AB80=""),"",AB92/AB80-1)</f>
        <v>0.0283711823612307</v>
      </c>
      <c r="AD92" s="8" t="n">
        <v>68.13</v>
      </c>
      <c r="AE92" s="8" t="n">
        <v>63.5367</v>
      </c>
      <c r="AF92" s="6" t="n">
        <v>3218</v>
      </c>
      <c r="AG92" s="7" t="n">
        <f aca="false">IF(OR(AF92="",AF80=""),"",AF92/AF80-1)</f>
        <v>0.380523380523381</v>
      </c>
      <c r="AH92" s="10" t="n">
        <v>24.7</v>
      </c>
      <c r="AI92" s="13" t="n">
        <v>1.1232</v>
      </c>
      <c r="AJ92" s="14"/>
    </row>
    <row r="93" customFormat="false" ht="15" hidden="false" customHeight="false" outlineLevel="0" collapsed="false">
      <c r="A93" s="5" t="n">
        <v>45778</v>
      </c>
      <c r="B93" s="6" t="n">
        <v>5810.92</v>
      </c>
      <c r="C93" s="7" t="n">
        <f aca="false">IF(OR(B93="",B81=""),"",B93/B81-1)</f>
        <v>0.10996460518449</v>
      </c>
      <c r="D93" s="8" t="n">
        <v>4.42</v>
      </c>
      <c r="E93" s="8" t="n">
        <v>4.0857</v>
      </c>
      <c r="F93" s="8" t="n">
        <v>4.33</v>
      </c>
      <c r="G93" s="9" t="n">
        <f aca="false">IF(OR(D93="",E93=""),"",D93-E93)</f>
        <v>0.3343</v>
      </c>
      <c r="H93" s="10" t="n">
        <v>321.465</v>
      </c>
      <c r="I93" s="7" t="n">
        <f aca="false">IF(OR(H93="",H81=""),"",H93/H81-1)</f>
        <v>0.0235489653547467</v>
      </c>
      <c r="J93" s="10" t="n">
        <v>4.3</v>
      </c>
      <c r="K93" s="8" t="n">
        <v>0.33</v>
      </c>
      <c r="L93" s="11" t="n">
        <v>30630.174</v>
      </c>
      <c r="M93" s="7" t="n">
        <f aca="false">IF(OR(L93="",L81=""),"",L93/L81-1)</f>
        <v>0.0477957007712253</v>
      </c>
      <c r="N93" s="12" t="n">
        <v>118.7817</v>
      </c>
      <c r="O93" s="11" t="n">
        <v>1197.132</v>
      </c>
      <c r="P93" s="7" t="n">
        <f aca="false">IF(OR(O93="",L93="",L93=0),"",O93/L93)</f>
        <v>0.0390834214653825</v>
      </c>
      <c r="Q93" s="6" t="n">
        <v>21836.1</v>
      </c>
      <c r="R93" s="7" t="n">
        <f aca="false">IF(OR(Q93="",Q81=""),"",Q93/Q81-1)</f>
        <v>0.0387458613997032</v>
      </c>
      <c r="S93" s="8" t="n">
        <v>6.6965</v>
      </c>
      <c r="T93" s="10" t="n">
        <v>100.9655</v>
      </c>
      <c r="U93" s="7" t="n">
        <f aca="false">IF(OR(T93="",T81=""),"",T93/T81-1)</f>
        <v>0.00101622993565531</v>
      </c>
      <c r="V93" s="6" t="n">
        <v>685488</v>
      </c>
      <c r="W93" s="7" t="n">
        <f aca="false">IF(OR(V93="",V81=""),"",V93/V81-1)</f>
        <v>0.026703751465943</v>
      </c>
      <c r="X93" s="6" t="n">
        <v>20666.1</v>
      </c>
      <c r="Y93" s="7" t="n">
        <f aca="false">IF(OR(X93="",X81=""),"",X93/X81-1)</f>
        <v>0.0496266951089439</v>
      </c>
      <c r="Z93" s="6" t="n">
        <v>18072</v>
      </c>
      <c r="AA93" s="7" t="n">
        <f aca="false">IF(OR(Z93="",Z81=""),"",Z93/Z81-1)</f>
        <v>0.0141129597934964</v>
      </c>
      <c r="AB93" s="10" t="n">
        <v>331.367</v>
      </c>
      <c r="AC93" s="7" t="n">
        <f aca="false">IF(OR(AB93="",AB81=""),"",AB93/AB81-1)</f>
        <v>0.0236981612377045</v>
      </c>
      <c r="AD93" s="8" t="n">
        <v>64.45</v>
      </c>
      <c r="AE93" s="8" t="n">
        <v>62.1676</v>
      </c>
      <c r="AF93" s="6" t="n">
        <v>3309</v>
      </c>
      <c r="AG93" s="7" t="n">
        <f aca="false">IF(OR(AF93="",AF81=""),"",AF93/AF81-1)</f>
        <v>0.407486176095279</v>
      </c>
      <c r="AH93" s="10" t="n">
        <v>18.57</v>
      </c>
      <c r="AI93" s="13" t="n">
        <v>1.1274</v>
      </c>
      <c r="AJ93" s="14"/>
    </row>
    <row r="94" customFormat="false" ht="15" hidden="false" customHeight="false" outlineLevel="0" collapsed="false">
      <c r="A94" s="5" t="n">
        <v>45809</v>
      </c>
      <c r="B94" s="6" t="n">
        <v>6029.95</v>
      </c>
      <c r="C94" s="7" t="n">
        <f aca="false">IF(OR(B94="",B82=""),"",B94/B82-1)</f>
        <v>0.113535384126726</v>
      </c>
      <c r="D94" s="8" t="n">
        <v>4.38</v>
      </c>
      <c r="E94" s="8" t="n">
        <v>4.062</v>
      </c>
      <c r="F94" s="8" t="n">
        <v>4.33</v>
      </c>
      <c r="G94" s="9" t="n">
        <f aca="false">IF(OR(D94="",E94=""),"",D94-E94)</f>
        <v>0.318</v>
      </c>
      <c r="H94" s="10" t="n">
        <v>322.561</v>
      </c>
      <c r="I94" s="7" t="n">
        <f aca="false">IF(OR(H94="",H82=""),"",H94/H82-1)</f>
        <v>0.0266921301822232</v>
      </c>
      <c r="J94" s="10" t="n">
        <v>4.1</v>
      </c>
      <c r="K94" s="8" t="n">
        <v>0.23</v>
      </c>
      <c r="L94" s="11" t="n">
        <v>30630.174</v>
      </c>
      <c r="M94" s="7" t="n">
        <f aca="false">IF(OR(L94="",L82=""),"",L94/L82-1)</f>
        <v>0.0477957007712253</v>
      </c>
      <c r="N94" s="12" t="n">
        <v>118.7817</v>
      </c>
      <c r="O94" s="11" t="n">
        <v>1197.132</v>
      </c>
      <c r="P94" s="7" t="n">
        <f aca="false">IF(OR(O94="",L94="",L94=0),"",O94/L94)</f>
        <v>0.0390834214653825</v>
      </c>
      <c r="Q94" s="6" t="n">
        <v>21942.6</v>
      </c>
      <c r="R94" s="7" t="n">
        <f aca="false">IF(OR(Q94="",Q82=""),"",Q94/Q82-1)</f>
        <v>0.0413797358417138</v>
      </c>
      <c r="S94" s="8" t="n">
        <v>6.6733</v>
      </c>
      <c r="T94" s="10" t="n">
        <v>101.4785</v>
      </c>
      <c r="U94" s="7" t="n">
        <f aca="false">IF(OR(T94="",T82=""),"",T94/T82-1)</f>
        <v>0.00579320871409594</v>
      </c>
      <c r="V94" s="6" t="n">
        <v>691883</v>
      </c>
      <c r="W94" s="7" t="n">
        <f aca="false">IF(OR(V94="",V82=""),"",V94/V82-1)</f>
        <v>0.0388009729145398</v>
      </c>
      <c r="X94" s="6" t="n">
        <v>20799.4</v>
      </c>
      <c r="Y94" s="7" t="n">
        <f aca="false">IF(OR(X94="",X82=""),"",X94/X82-1)</f>
        <v>0.0517868249786351</v>
      </c>
      <c r="Z94" s="6" t="n">
        <v>18088.6</v>
      </c>
      <c r="AA94" s="7" t="n">
        <f aca="false">IF(OR(Z94="",Z82=""),"",Z94/Z82-1)</f>
        <v>0.0122441213667752</v>
      </c>
      <c r="AB94" s="10" t="n">
        <v>331.564</v>
      </c>
      <c r="AC94" s="7" t="n">
        <f aca="false">IF(OR(AB94="",AB82=""),"",AB94/AB82-1)</f>
        <v>0.0193939543006125</v>
      </c>
      <c r="AD94" s="8" t="n">
        <v>71.44</v>
      </c>
      <c r="AE94" s="8" t="n">
        <v>68.169</v>
      </c>
      <c r="AF94" s="6" t="n">
        <v>3353</v>
      </c>
      <c r="AG94" s="7" t="n">
        <f aca="false">IF(OR(AF94="",AF82=""),"",AF94/AF82-1)</f>
        <v>0.441530524505589</v>
      </c>
      <c r="AH94" s="10" t="n">
        <v>16.73</v>
      </c>
      <c r="AI94" s="13" t="n">
        <v>1.1534</v>
      </c>
      <c r="AJ94" s="15" t="n">
        <v>3.72</v>
      </c>
    </row>
    <row r="95" customFormat="false" ht="15" hidden="false" customHeight="false" outlineLevel="0" collapsed="false">
      <c r="A95" s="5" t="n">
        <v>45839</v>
      </c>
      <c r="B95" s="6" t="n">
        <v>6296.5</v>
      </c>
      <c r="C95" s="7" t="n">
        <f aca="false">IF(OR(B95="",B83=""),"",B95/B83-1)</f>
        <v>0.13696280245576</v>
      </c>
      <c r="D95" s="8" t="n">
        <v>4.39</v>
      </c>
      <c r="E95" s="8" t="n">
        <v>4.0764</v>
      </c>
      <c r="F95" s="8" t="n">
        <v>4.33</v>
      </c>
      <c r="G95" s="9" t="n">
        <f aca="false">IF(OR(D95="",E95=""),"",D95-E95)</f>
        <v>0.3136</v>
      </c>
      <c r="H95" s="10" t="n">
        <v>323.048</v>
      </c>
      <c r="I95" s="7" t="n">
        <f aca="false">IF(OR(H95="",H83=""),"",H95/H83-1)</f>
        <v>0.027049023971514</v>
      </c>
      <c r="J95" s="10" t="n">
        <v>4.3</v>
      </c>
      <c r="K95" s="8" t="n">
        <v>0.17</v>
      </c>
      <c r="L95" s="11" t="n">
        <v>31180.493</v>
      </c>
      <c r="M95" s="7" t="n">
        <f aca="false">IF(OR(L95="",L83=""),"",L95/L83-1)</f>
        <v>0.0545259416044015</v>
      </c>
      <c r="N95" s="12" t="n">
        <v>121.0288</v>
      </c>
      <c r="O95" s="11" t="n">
        <v>1238.252</v>
      </c>
      <c r="P95" s="7" t="n">
        <f aca="false">IF(OR(O95="",L95="",L95=0),"",O95/L95)</f>
        <v>0.0397123932581823</v>
      </c>
      <c r="Q95" s="6" t="n">
        <v>22025.6</v>
      </c>
      <c r="R95" s="7" t="n">
        <f aca="false">IF(OR(Q95="",Q83=""),"",Q95/Q83-1)</f>
        <v>0.0439217210375895</v>
      </c>
      <c r="S95" s="8" t="n">
        <v>6.6562</v>
      </c>
      <c r="T95" s="10" t="n">
        <v>101.894</v>
      </c>
      <c r="U95" s="7" t="n">
        <f aca="false">IF(OR(T95="",T83=""),"",T95/T83-1)</f>
        <v>0.0191876626020122</v>
      </c>
      <c r="V95" s="6" t="n">
        <v>698280</v>
      </c>
      <c r="W95" s="7" t="n">
        <f aca="false">IF(OR(V95="",V83=""),"",V95/V83-1)</f>
        <v>0.036543548545116</v>
      </c>
      <c r="X95" s="6" t="n">
        <v>20927.2</v>
      </c>
      <c r="Y95" s="7" t="n">
        <f aca="false">IF(OR(X95="",X83=""),"",X95/X83-1)</f>
        <v>0.0535451781147427</v>
      </c>
      <c r="Z95" s="6" t="n">
        <v>18144.4</v>
      </c>
      <c r="AA95" s="7" t="n">
        <f aca="false">IF(OR(Z95="",Z83=""),"",Z95/Z83-1)</f>
        <v>0.0157646057728913</v>
      </c>
      <c r="AB95" s="10" t="n">
        <v>330.923</v>
      </c>
      <c r="AC95" s="7" t="n">
        <f aca="false">IF(OR(AB95="",AB83=""),"",AB95/AB83-1)</f>
        <v>0.0164544209161892</v>
      </c>
      <c r="AD95" s="8" t="n">
        <v>71.04</v>
      </c>
      <c r="AE95" s="8" t="n">
        <v>68.3909</v>
      </c>
      <c r="AF95" s="6" t="n">
        <v>3340</v>
      </c>
      <c r="AG95" s="7" t="n">
        <f aca="false">IF(OR(AF95="",AF83=""),"",AF95/AF83-1)</f>
        <v>0.392827356130108</v>
      </c>
      <c r="AH95" s="10" t="n">
        <v>16.72</v>
      </c>
      <c r="AI95" s="13" t="n">
        <v>1.1671</v>
      </c>
      <c r="AJ95" s="14"/>
    </row>
    <row r="96" customFormat="false" ht="15" hidden="false" customHeight="false" outlineLevel="0" collapsed="false">
      <c r="A96" s="5" t="n">
        <v>45870</v>
      </c>
      <c r="B96" s="6" t="n">
        <v>6408.95</v>
      </c>
      <c r="C96" s="7" t="n">
        <f aca="false">IF(OR(B96="",B84=""),"",B96/B84-1)</f>
        <v>0.169898561756486</v>
      </c>
      <c r="D96" s="8" t="n">
        <v>4.26</v>
      </c>
      <c r="E96" s="8" t="n">
        <v>3.89</v>
      </c>
      <c r="F96" s="8" t="n">
        <v>4.33</v>
      </c>
      <c r="G96" s="9" t="n">
        <f aca="false">IF(OR(D96="",E96=""),"",D96-E96)</f>
        <v>0.37</v>
      </c>
      <c r="H96" s="10" t="n">
        <v>323.976</v>
      </c>
      <c r="I96" s="7" t="n">
        <f aca="false">IF(OR(H96="",H84=""),"",H96/H84-1)</f>
        <v>0.029161742842984</v>
      </c>
      <c r="J96" s="10" t="n">
        <v>4.3</v>
      </c>
      <c r="K96" s="8" t="n">
        <v>0.13</v>
      </c>
      <c r="L96" s="11" t="n">
        <v>31180.493</v>
      </c>
      <c r="M96" s="7" t="n">
        <f aca="false">IF(OR(L96="",L84=""),"",L96/L84-1)</f>
        <v>0.0545259416044015</v>
      </c>
      <c r="N96" s="12" t="n">
        <v>121.0288</v>
      </c>
      <c r="O96" s="11" t="n">
        <v>1238.252</v>
      </c>
      <c r="P96" s="7" t="n">
        <f aca="false">IF(OR(O96="",L96="",L96=0),"",O96/L96)</f>
        <v>0.0397123932581823</v>
      </c>
      <c r="Q96" s="6" t="n">
        <v>22092.6</v>
      </c>
      <c r="R96" s="7" t="n">
        <f aca="false">IF(OR(Q96="",Q84=""),"",Q96/Q84-1)</f>
        <v>0.0424971687429219</v>
      </c>
      <c r="S96" s="8" t="n">
        <v>6.6266</v>
      </c>
      <c r="T96" s="10" t="n">
        <v>101.6247</v>
      </c>
      <c r="U96" s="7" t="n">
        <f aca="false">IF(OR(T96="",T84=""),"",T96/T84-1)</f>
        <v>0.0118867798655593</v>
      </c>
      <c r="V96" s="6" t="n">
        <v>700218</v>
      </c>
      <c r="W96" s="7" t="n">
        <f aca="false">IF(OR(V96="",V84=""),"",V96/V84-1)</f>
        <v>0.0440605485873786</v>
      </c>
      <c r="X96" s="6" t="n">
        <v>21029.5</v>
      </c>
      <c r="Y96" s="7" t="n">
        <f aca="false">IF(OR(X96="",X84=""),"",X96/X84-1)</f>
        <v>0.0562492465946076</v>
      </c>
      <c r="Z96" s="6" t="n">
        <v>18174</v>
      </c>
      <c r="AA96" s="7" t="n">
        <f aca="false">IF(OR(Z96="",Z84=""),"",Z96/Z84-1)</f>
        <v>0.0172850010075454</v>
      </c>
      <c r="AB96" s="10" t="n">
        <v>329.845</v>
      </c>
      <c r="AC96" s="7" t="n">
        <f aca="false">IF(OR(AB96="",AB84=""),"",AB96/AB84-1)</f>
        <v>0.0148983240154708</v>
      </c>
      <c r="AD96" s="8" t="n">
        <v>67.87</v>
      </c>
      <c r="AE96" s="8" t="n">
        <v>64.8643</v>
      </c>
      <c r="AF96" s="6" t="n">
        <v>3368</v>
      </c>
      <c r="AG96" s="7" t="n">
        <f aca="false">IF(OR(AF96="",AF84=""),"",AF96/AF84-1)</f>
        <v>0.363562753036437</v>
      </c>
      <c r="AH96" s="10" t="n">
        <v>15.36</v>
      </c>
      <c r="AI96" s="13" t="n">
        <v>1.1647</v>
      </c>
      <c r="AJ96" s="14"/>
    </row>
    <row r="97" customFormat="false" ht="15" hidden="false" customHeight="false" outlineLevel="0" collapsed="false">
      <c r="A97" s="5" t="n">
        <v>45901</v>
      </c>
      <c r="B97" s="6" t="n">
        <v>6584.02</v>
      </c>
      <c r="C97" s="7" t="n">
        <f aca="false">IF(OR(B97="",B85=""),"",B97/B85-1)</f>
        <v>0.171271209657621</v>
      </c>
      <c r="D97" s="8" t="n">
        <v>4.12</v>
      </c>
      <c r="E97" s="8" t="n">
        <v>3.6605</v>
      </c>
      <c r="F97" s="8" t="n">
        <v>4.22</v>
      </c>
      <c r="G97" s="9" t="n">
        <f aca="false">IF(OR(D97="",E97=""),"",D97-E97)</f>
        <v>0.4595</v>
      </c>
      <c r="H97" s="10" t="n">
        <v>324.8</v>
      </c>
      <c r="I97" s="7" t="n">
        <f aca="false">IF(OR(H97="",H85=""),"",H97/H85-1)</f>
        <v>0.0301267677552561</v>
      </c>
      <c r="J97" s="10" t="n">
        <v>4.4</v>
      </c>
      <c r="K97" s="8" t="n">
        <v>0.23</v>
      </c>
      <c r="L97" s="11" t="n">
        <v>31180.493</v>
      </c>
      <c r="M97" s="7" t="n">
        <f aca="false">IF(OR(L97="",L85=""),"",L97/L85-1)</f>
        <v>0.0545259416044015</v>
      </c>
      <c r="N97" s="12" t="n">
        <v>121.0288</v>
      </c>
      <c r="O97" s="11" t="n">
        <v>1238.252</v>
      </c>
      <c r="P97" s="7" t="n">
        <f aca="false">IF(OR(O97="",L97="",L97=0),"",O97/L97)</f>
        <v>0.0397123932581823</v>
      </c>
      <c r="Q97" s="6" t="n">
        <v>22176.1</v>
      </c>
      <c r="R97" s="7" t="n">
        <f aca="false">IF(OR(Q97="",Q85=""),"",Q97/Q85-1)</f>
        <v>0.0423254808325029</v>
      </c>
      <c r="S97" s="8" t="n">
        <v>6.6063</v>
      </c>
      <c r="T97" s="10" t="n">
        <v>101.668</v>
      </c>
      <c r="U97" s="7" t="n">
        <f aca="false">IF(OR(T97="",T85=""),"",T97/T85-1)</f>
        <v>0.018631698334008</v>
      </c>
      <c r="V97" s="6" t="n">
        <v>701453</v>
      </c>
      <c r="W97" s="7" t="n">
        <f aca="false">IF(OR(V97="",V85=""),"",V97/V85-1)</f>
        <v>0.0376446919771303</v>
      </c>
      <c r="X97" s="6" t="n">
        <v>21126.5</v>
      </c>
      <c r="Y97" s="7" t="n">
        <f aca="false">IF(OR(X97="",X85=""),"",X97/X85-1)</f>
        <v>0.0528033727182573</v>
      </c>
      <c r="Z97" s="6" t="n">
        <v>18192.7</v>
      </c>
      <c r="AA97" s="7" t="n">
        <f aca="false">IF(OR(Z97="",Z85=""),"",Z97/Z85-1)</f>
        <v>0.0177506517336674</v>
      </c>
      <c r="AB97" s="10" t="n">
        <v>328.874</v>
      </c>
      <c r="AC97" s="7" t="n">
        <f aca="false">IF(OR(AB97="",AB85=""),"",AB97/AB85-1)</f>
        <v>0.0131014321316243</v>
      </c>
      <c r="AD97" s="8" t="n">
        <v>67.99</v>
      </c>
      <c r="AE97" s="8" t="n">
        <v>63.959</v>
      </c>
      <c r="AF97" s="6" t="n">
        <v>3668</v>
      </c>
      <c r="AG97" s="7" t="n">
        <f aca="false">IF(OR(AF97="",AF85=""),"",AF97/AF85-1)</f>
        <v>0.426682224815247</v>
      </c>
      <c r="AH97" s="10" t="n">
        <v>16.28</v>
      </c>
      <c r="AI97" s="13" t="n">
        <v>1.1739</v>
      </c>
      <c r="AJ97" s="14"/>
    </row>
    <row r="98" customFormat="false" ht="15" hidden="false" customHeight="false" outlineLevel="0" collapsed="false">
      <c r="A98" s="5" t="n">
        <v>45931</v>
      </c>
      <c r="B98" s="6" t="n">
        <v>6735.69</v>
      </c>
      <c r="C98" s="7" t="n">
        <f aca="false">IF(OR(B98="",B86=""),"",B98/B86-1)</f>
        <v>0.162865656593558</v>
      </c>
      <c r="D98" s="8" t="n">
        <v>4.06</v>
      </c>
      <c r="E98" s="8" t="n">
        <v>3.6141</v>
      </c>
      <c r="F98" s="8" t="n">
        <v>4.09</v>
      </c>
      <c r="G98" s="9" t="n">
        <f aca="false">IF(OR(D98="",E98=""),"",D98-E98)</f>
        <v>0.4459</v>
      </c>
      <c r="H98" s="16"/>
      <c r="I98" s="7" t="str">
        <f aca="false">IF(OR(H98="",H86=""),"",H98/H86-1)</f>
        <v/>
      </c>
      <c r="J98" s="16"/>
      <c r="K98" s="8" t="n">
        <v>0.25</v>
      </c>
      <c r="L98" s="11" t="n">
        <v>31462.523</v>
      </c>
      <c r="M98" s="7" t="n">
        <f aca="false">IF(OR(L98="",L86=""),"",L98/L86-1)</f>
        <v>0.0512193099315352</v>
      </c>
      <c r="N98" s="12" t="n">
        <v>122.5682</v>
      </c>
      <c r="O98" s="11" t="n">
        <v>1265.05</v>
      </c>
      <c r="P98" s="7" t="n">
        <f aca="false">IF(OR(O98="",L98="",L98=0),"",O98/L98)</f>
        <v>0.0402081549531168</v>
      </c>
      <c r="Q98" s="6" t="n">
        <v>22249.8</v>
      </c>
      <c r="R98" s="7" t="n">
        <f aca="false">IF(OR(Q98="",Q86=""),"",Q98/Q86-1)</f>
        <v>0.0427996962965047</v>
      </c>
      <c r="S98" s="8" t="n">
        <v>6.5902</v>
      </c>
      <c r="T98" s="10" t="n">
        <v>101.2195</v>
      </c>
      <c r="U98" s="7" t="n">
        <f aca="false">IF(OR(T98="",T86=""),"",T98/T86-1)</f>
        <v>0.0175933326296001</v>
      </c>
      <c r="V98" s="6" t="n">
        <v>700790</v>
      </c>
      <c r="W98" s="7" t="n">
        <f aca="false">IF(OR(V98="",V86=""),"",V98/V86-1)</f>
        <v>0.0278406824208575</v>
      </c>
      <c r="X98" s="6" t="n">
        <v>21196.4</v>
      </c>
      <c r="Y98" s="7" t="n">
        <f aca="false">IF(OR(X98="",X86=""),"",X98/X86-1)</f>
        <v>0.0521341599614815</v>
      </c>
      <c r="Z98" s="6" t="n">
        <v>18168.4</v>
      </c>
      <c r="AA98" s="7" t="n">
        <f aca="false">IF(OR(Z98="",Z86=""),"",Z98/Z86-1)</f>
        <v>0.014178537935962</v>
      </c>
      <c r="AB98" s="10" t="n">
        <v>328.233</v>
      </c>
      <c r="AC98" s="7" t="n">
        <f aca="false">IF(OR(AB98="",AB86=""),"",AB98/AB86-1)</f>
        <v>0.0132618379499718</v>
      </c>
      <c r="AD98" s="8" t="n">
        <v>64.54</v>
      </c>
      <c r="AE98" s="8" t="n">
        <v>60.8945</v>
      </c>
      <c r="AF98" s="6" t="n">
        <v>4058</v>
      </c>
      <c r="AG98" s="7" t="n">
        <f aca="false">IF(OR(AF98="",AF86=""),"",AF98/AF86-1)</f>
        <v>0.508550185873606</v>
      </c>
      <c r="AH98" s="10" t="n">
        <v>17.44</v>
      </c>
      <c r="AI98" s="13" t="n">
        <v>1.1641</v>
      </c>
      <c r="AJ98" s="14"/>
    </row>
    <row r="99" customFormat="false" ht="15" hidden="false" customHeight="false" outlineLevel="0" collapsed="false">
      <c r="A99" s="5" t="n">
        <v>45962</v>
      </c>
      <c r="B99" s="6" t="n">
        <v>6740.89</v>
      </c>
      <c r="C99" s="7" t="n">
        <f aca="false">IF(OR(B99="",B87=""),"",B99/B87-1)</f>
        <v>0.136759011925962</v>
      </c>
      <c r="D99" s="8" t="n">
        <v>4.09</v>
      </c>
      <c r="E99" s="8" t="n">
        <v>3.655</v>
      </c>
      <c r="F99" s="8" t="n">
        <v>3.88</v>
      </c>
      <c r="G99" s="9" t="n">
        <f aca="false">IF(OR(D99="",E99=""),"",D99-E99)</f>
        <v>0.435</v>
      </c>
      <c r="H99" s="10" t="n">
        <v>324.122</v>
      </c>
      <c r="I99" s="7" t="n">
        <f aca="false">IF(OR(H99="",H87=""),"",H99/H87-1)</f>
        <v>0.0273508445512263</v>
      </c>
      <c r="J99" s="10" t="n">
        <v>4.5</v>
      </c>
      <c r="K99" s="8" t="n">
        <v>0.35</v>
      </c>
      <c r="L99" s="11" t="n">
        <v>31462.523</v>
      </c>
      <c r="M99" s="7" t="n">
        <f aca="false">IF(OR(L99="",L87=""),"",L99/L87-1)</f>
        <v>0.0512193099315352</v>
      </c>
      <c r="N99" s="12" t="n">
        <v>122.5682</v>
      </c>
      <c r="O99" s="11" t="n">
        <v>1265.05</v>
      </c>
      <c r="P99" s="7" t="n">
        <f aca="false">IF(OR(O99="",L99="",L99=0),"",O99/L99)</f>
        <v>0.0402081549531168</v>
      </c>
      <c r="Q99" s="6" t="n">
        <v>22279.8</v>
      </c>
      <c r="R99" s="7" t="n">
        <f aca="false">IF(OR(Q99="",Q87=""),"",Q99/Q87-1)</f>
        <v>0.0384577738211207</v>
      </c>
      <c r="S99" s="8" t="n">
        <v>6.5652</v>
      </c>
      <c r="T99" s="10" t="n">
        <v>101.0344</v>
      </c>
      <c r="U99" s="7" t="n">
        <f aca="false">IF(OR(T99="",T87=""),"",T99/T87-1)</f>
        <v>0.0175431175567138</v>
      </c>
      <c r="V99" s="6" t="n">
        <v>705453</v>
      </c>
      <c r="W99" s="7" t="n">
        <f aca="false">IF(OR(V99="",V87=""),"",V99/V87-1)</f>
        <v>0.0287935552836553</v>
      </c>
      <c r="X99" s="6" t="n">
        <v>21274.2</v>
      </c>
      <c r="Y99" s="7" t="n">
        <f aca="false">IF(OR(X99="",X87=""),"",X99/X87-1)</f>
        <v>0.0504844013865435</v>
      </c>
      <c r="Z99" s="6" t="n">
        <v>18201.5</v>
      </c>
      <c r="AA99" s="7" t="n">
        <f aca="false">IF(OR(Z99="",Z87=""),"",Z99/Z87-1)</f>
        <v>0.0137061830981209</v>
      </c>
      <c r="AB99" s="10" t="n">
        <v>327.853</v>
      </c>
      <c r="AC99" s="7" t="n">
        <f aca="false">IF(OR(AB99="",AB87=""),"",AB99/AB87-1)</f>
        <v>0.0129737312067826</v>
      </c>
      <c r="AD99" s="8" t="n">
        <v>63.8</v>
      </c>
      <c r="AE99" s="8" t="n">
        <v>60.0622</v>
      </c>
      <c r="AF99" s="6" t="n">
        <v>4087</v>
      </c>
      <c r="AG99" s="7" t="n">
        <f aca="false">IF(OR(AF99="",AF87=""),"",AF99/AF87-1)</f>
        <v>0.541682384006035</v>
      </c>
      <c r="AH99" s="10" t="n">
        <v>16.35</v>
      </c>
      <c r="AI99" s="13" t="n">
        <v>1.1558</v>
      </c>
      <c r="AJ99" s="14"/>
    </row>
    <row r="100" customFormat="false" ht="15" hidden="false" customHeight="false" outlineLevel="0" collapsed="false">
      <c r="A100" s="5" t="n">
        <v>45992</v>
      </c>
      <c r="B100" s="6" t="n">
        <v>6853.03</v>
      </c>
      <c r="C100" s="7" t="n">
        <f aca="false">IF(OR(B100="",B88=""),"",B100/B88-1)</f>
        <v>0.140098587401908</v>
      </c>
      <c r="D100" s="8" t="n">
        <v>4.14</v>
      </c>
      <c r="E100" s="8" t="n">
        <v>3.5418</v>
      </c>
      <c r="F100" s="8" t="n">
        <v>3.72</v>
      </c>
      <c r="G100" s="9" t="n">
        <f aca="false">IF(OR(D100="",E100=""),"",D100-E100)</f>
        <v>0.5982</v>
      </c>
      <c r="H100" s="10" t="n">
        <v>324.054</v>
      </c>
      <c r="I100" s="7" t="n">
        <f aca="false">IF(OR(H100="",H88=""),"",H100/H88-1)</f>
        <v>0.0267708052787501</v>
      </c>
      <c r="J100" s="10" t="n">
        <v>4.4</v>
      </c>
      <c r="K100" s="8" t="n">
        <v>0.35</v>
      </c>
      <c r="L100" s="11" t="n">
        <v>31462.523</v>
      </c>
      <c r="M100" s="7" t="n">
        <f aca="false">IF(OR(L100="",L88=""),"",L100/L88-1)</f>
        <v>0.0512193099315352</v>
      </c>
      <c r="N100" s="12" t="n">
        <v>122.5682</v>
      </c>
      <c r="O100" s="11" t="n">
        <v>1265.05</v>
      </c>
      <c r="P100" s="7" t="n">
        <f aca="false">IF(OR(O100="",L100="",L100=0),"",O100/L100)</f>
        <v>0.0402081549531168</v>
      </c>
      <c r="Q100" s="6" t="n">
        <v>22355.3</v>
      </c>
      <c r="R100" s="7" t="n">
        <f aca="false">IF(OR(Q100="",Q88=""),"",Q100/Q88-1)</f>
        <v>0.0403814292894507</v>
      </c>
      <c r="S100" s="8" t="n">
        <v>6.5708</v>
      </c>
      <c r="T100" s="10" t="n">
        <v>101.4941</v>
      </c>
      <c r="U100" s="7" t="n">
        <f aca="false">IF(OR(T100="",T88=""),"",T100/T88-1)</f>
        <v>0.0116299352220184</v>
      </c>
      <c r="V100" s="6" t="n">
        <v>706264</v>
      </c>
      <c r="W100" s="7" t="n">
        <f aca="false">IF(OR(V100="",V88=""),"",V100/V88-1)</f>
        <v>0.0209166312514997</v>
      </c>
      <c r="X100" s="6" t="n">
        <v>21336</v>
      </c>
      <c r="Y100" s="7" t="n">
        <f aca="false">IF(OR(X100="",X88=""),"",X100/X88-1)</f>
        <v>0.0428815125105699</v>
      </c>
      <c r="Z100" s="6" t="n">
        <v>18208.6</v>
      </c>
      <c r="AA100" s="7" t="n">
        <f aca="false">IF(OR(Z100="",Z88=""),"",Z100/Z88-1)</f>
        <v>0.0136217636482054</v>
      </c>
      <c r="AB100" s="10" t="n">
        <v>327.028</v>
      </c>
      <c r="AC100" s="7" t="n">
        <f aca="false">IF(OR(AB100="",AB88=""),"",AB100/AB88-1)</f>
        <v>0.0116093109581628</v>
      </c>
      <c r="AD100" s="8" t="n">
        <v>62.54</v>
      </c>
      <c r="AE100" s="8" t="n">
        <v>57.9723</v>
      </c>
      <c r="AF100" s="6" t="n">
        <v>4309</v>
      </c>
      <c r="AG100" s="7" t="n">
        <f aca="false">IF(OR(AF100="",AF88=""),"",AF100/AF88-1)</f>
        <v>0.62726586102719</v>
      </c>
      <c r="AH100" s="10" t="n">
        <v>14.95</v>
      </c>
      <c r="AI100" s="13" t="n">
        <v>1.171</v>
      </c>
      <c r="AJ100" s="15" t="n">
        <v>3.5</v>
      </c>
    </row>
    <row r="101" customFormat="false" ht="15" hidden="false" customHeight="false" outlineLevel="0" collapsed="false">
      <c r="A101" s="5" t="n">
        <v>46023</v>
      </c>
      <c r="B101" s="6" t="n">
        <v>6929.12</v>
      </c>
      <c r="C101" s="7" t="n">
        <f aca="false">IF(OR(B101="",B89=""),"",B101/B89-1)</f>
        <v>0.158808733811409</v>
      </c>
      <c r="D101" s="8" t="n">
        <v>4.21</v>
      </c>
      <c r="E101" s="8" t="n">
        <v>3.5085</v>
      </c>
      <c r="F101" s="8" t="n">
        <v>3.64</v>
      </c>
      <c r="G101" s="9" t="n">
        <f aca="false">IF(OR(D101="",E101=""),"",D101-E101)</f>
        <v>0.7015</v>
      </c>
      <c r="H101" s="10" t="n">
        <v>325.252</v>
      </c>
      <c r="I101" s="7" t="n">
        <f aca="false">IF(OR(H101="",H89=""),"",H101/H89-1)</f>
        <v>0.0238643124490432</v>
      </c>
      <c r="J101" s="10" t="n">
        <v>4.3</v>
      </c>
      <c r="K101" s="8" t="n">
        <v>0.3</v>
      </c>
      <c r="L101" s="11" t="n">
        <v>31906.274</v>
      </c>
      <c r="M101" s="7" t="n">
        <f aca="false">IF(OR(L101="",L89=""),"",L101/L89-1)</f>
        <v>0.0574803197364018</v>
      </c>
      <c r="N101" s="12" t="n">
        <v>122.5939</v>
      </c>
      <c r="O101" s="11" t="n">
        <v>1252.858</v>
      </c>
      <c r="P101" s="7" t="n">
        <f aca="false">IF(OR(O101="",L101="",L101=0),"",O101/L101)</f>
        <v>0.0392668225691286</v>
      </c>
      <c r="Q101" s="6" t="n">
        <v>22413.4</v>
      </c>
      <c r="R101" s="7" t="n">
        <f aca="false">IF(OR(Q101="",Q89=""),"",Q101/Q89-1)</f>
        <v>0.0405816345006571</v>
      </c>
      <c r="S101" s="8" t="n">
        <v>6.5819</v>
      </c>
      <c r="T101" s="10" t="n">
        <v>101.0388</v>
      </c>
      <c r="U101" s="7" t="n">
        <f aca="false">IF(OR(T101="",T89=""),"",T101/T89-1)</f>
        <v>0.00973470164803358</v>
      </c>
      <c r="V101" s="6" t="n">
        <v>701860</v>
      </c>
      <c r="W101" s="7" t="n">
        <f aca="false">IF(OR(V101="",V89=""),"",V101/V89-1)</f>
        <v>0.0215440326726419</v>
      </c>
      <c r="X101" s="6" t="n">
        <v>21383.1</v>
      </c>
      <c r="Y101" s="7" t="n">
        <f aca="false">IF(OR(X101="",X89=""),"",X101/X89-1)</f>
        <v>0.0481706241054096</v>
      </c>
      <c r="Z101" s="6" t="n">
        <v>18322.5</v>
      </c>
      <c r="AA101" s="7" t="n">
        <f aca="false">IF(OR(Z101="",Z89=""),"",Z101/Z89-1)</f>
        <v>0.0204337365501572</v>
      </c>
      <c r="AB101" s="10" t="n">
        <v>326.764</v>
      </c>
      <c r="AC101" s="7" t="n">
        <f aca="false">IF(OR(AB101="",AB89=""),"",AB101/AB89-1)</f>
        <v>0.00968077841739534</v>
      </c>
      <c r="AD101" s="8" t="n">
        <v>66.6</v>
      </c>
      <c r="AE101" s="8" t="n">
        <v>60.037</v>
      </c>
      <c r="AF101" s="6" t="n">
        <v>4753</v>
      </c>
      <c r="AG101" s="7" t="n">
        <f aca="false">IF(OR(AF101="",AF89=""),"",AF101/AF89-1)</f>
        <v>0.753874538745387</v>
      </c>
      <c r="AH101" s="10" t="n">
        <v>17.44</v>
      </c>
      <c r="AI101" s="13" t="n">
        <v>1.1744</v>
      </c>
      <c r="AJ101" s="14"/>
    </row>
    <row r="102" customFormat="false" ht="15" hidden="false" customHeight="false" outlineLevel="0" collapsed="false">
      <c r="A102" s="5" t="n">
        <v>46054</v>
      </c>
      <c r="B102" s="6" t="n">
        <v>6893.81</v>
      </c>
      <c r="C102" s="7" t="n">
        <f aca="false">IF(OR(B102="",B90=""),"",B102/B90-1)</f>
        <v>0.141606871689059</v>
      </c>
      <c r="D102" s="8" t="n">
        <v>4.13</v>
      </c>
      <c r="E102" s="8" t="n">
        <v>3.4768</v>
      </c>
      <c r="F102" s="8" t="n">
        <v>3.64</v>
      </c>
      <c r="G102" s="9" t="n">
        <f aca="false">IF(OR(D102="",E102=""),"",D102-E102)</f>
        <v>0.6532</v>
      </c>
      <c r="H102" s="10" t="n">
        <v>326.785</v>
      </c>
      <c r="I102" s="7" t="n">
        <f aca="false">IF(OR(H102="",H90=""),"",H102/H90-1)</f>
        <v>0.0241411298663041</v>
      </c>
      <c r="J102" s="10" t="n">
        <v>4.4</v>
      </c>
      <c r="K102" s="8" t="n">
        <v>0.27</v>
      </c>
      <c r="L102" s="11" t="n">
        <v>31906.274</v>
      </c>
      <c r="M102" s="7" t="n">
        <f aca="false">IF(OR(L102="",L90=""),"",L102/L90-1)</f>
        <v>0.0574803197364018</v>
      </c>
      <c r="N102" s="12" t="n">
        <v>122.5939</v>
      </c>
      <c r="O102" s="11" t="n">
        <v>1252.858</v>
      </c>
      <c r="P102" s="7" t="n">
        <f aca="false">IF(OR(O102="",L102="",L102=0),"",O102/L102)</f>
        <v>0.0392668225691286</v>
      </c>
      <c r="Q102" s="6" t="n">
        <v>22598.7</v>
      </c>
      <c r="R102" s="7" t="n">
        <f aca="false">IF(OR(Q102="",Q90=""),"",Q102/Q90-1)</f>
        <v>0.0458874819504609</v>
      </c>
      <c r="S102" s="8" t="n">
        <v>6.6139</v>
      </c>
      <c r="T102" s="10" t="n">
        <v>101.9053</v>
      </c>
      <c r="U102" s="7" t="n">
        <f aca="false">IF(OR(T102="",T90=""),"",T102/T90-1)</f>
        <v>0.00797235984818889</v>
      </c>
      <c r="V102" s="6" t="n">
        <v>707959</v>
      </c>
      <c r="W102" s="7" t="n">
        <f aca="false">IF(OR(V102="",V90=""),"",V102/V90-1)</f>
        <v>0.0353729020784706</v>
      </c>
      <c r="X102" s="6" t="n">
        <v>21502</v>
      </c>
      <c r="Y102" s="7" t="n">
        <f aca="false">IF(OR(X102="",X90=""),"",X102/X90-1)</f>
        <v>0.0520650360359918</v>
      </c>
      <c r="Z102" s="6" t="n">
        <v>18284.8</v>
      </c>
      <c r="AA102" s="7" t="n">
        <f aca="false">IF(OR(Z102="",Z90=""),"",Z102/Z90-1)</f>
        <v>0.0182320380455967</v>
      </c>
      <c r="AB102" s="10" t="n">
        <v>327.824</v>
      </c>
      <c r="AC102" s="7" t="n">
        <f aca="false">IF(OR(AB102="",AB90=""),"",AB102/AB90-1)</f>
        <v>0.00838826565609652</v>
      </c>
      <c r="AD102" s="8" t="n">
        <v>70.89</v>
      </c>
      <c r="AE102" s="8" t="n">
        <v>64.5084</v>
      </c>
      <c r="AF102" s="6" t="n">
        <v>5020</v>
      </c>
      <c r="AG102" s="7" t="n">
        <f aca="false">IF(OR(AF102="",AF90=""),"",AF102/AF90-1)</f>
        <v>0.734024179620035</v>
      </c>
      <c r="AH102" s="10" t="n">
        <v>19.86</v>
      </c>
      <c r="AI102" s="13" t="n">
        <v>1.1824</v>
      </c>
      <c r="AJ102" s="14"/>
    </row>
    <row r="103" customFormat="false" ht="15" hidden="false" customHeight="false" outlineLevel="0" collapsed="false">
      <c r="A103" s="5" t="n">
        <v>46082</v>
      </c>
      <c r="B103" s="6" t="n">
        <v>6654.42</v>
      </c>
      <c r="C103" s="7" t="n">
        <f aca="false">IF(OR(B103="",B91=""),"",B103/B91-1)</f>
        <v>0.170732479706122</v>
      </c>
      <c r="D103" s="8" t="n">
        <v>4.25</v>
      </c>
      <c r="E103" s="8" t="n">
        <v>3.6664</v>
      </c>
      <c r="F103" s="8" t="n">
        <v>3.64</v>
      </c>
      <c r="G103" s="9" t="n">
        <f aca="false">IF(OR(D103="",E103=""),"",D103-E103)</f>
        <v>0.5836</v>
      </c>
      <c r="H103" s="10" t="n">
        <v>330.213</v>
      </c>
      <c r="I103" s="7" t="n">
        <f aca="false">IF(OR(H103="",H91=""),"",H103/H91-1)</f>
        <v>0.0325642043908831</v>
      </c>
      <c r="J103" s="10" t="n">
        <v>4.3</v>
      </c>
      <c r="K103" s="8" t="n">
        <v>0.2</v>
      </c>
      <c r="L103" s="11" t="n">
        <v>31906.274</v>
      </c>
      <c r="M103" s="7" t="n">
        <f aca="false">IF(OR(L103="",L91=""),"",L103/L91-1)</f>
        <v>0.0574803197364018</v>
      </c>
      <c r="N103" s="12" t="n">
        <v>122.5939</v>
      </c>
      <c r="O103" s="11" t="n">
        <v>1252.858</v>
      </c>
      <c r="P103" s="7" t="n">
        <f aca="false">IF(OR(O103="",L103="",L103=0),"",O103/L103)</f>
        <v>0.0392668225691286</v>
      </c>
      <c r="Q103" s="6" t="n">
        <v>22640.3</v>
      </c>
      <c r="R103" s="7" t="n">
        <f aca="false">IF(OR(Q103="",Q91=""),"",Q103/Q91-1)</f>
        <v>0.0440968267071264</v>
      </c>
      <c r="S103" s="8" t="n">
        <v>6.6471</v>
      </c>
      <c r="T103" s="10" t="n">
        <v>101.7336</v>
      </c>
      <c r="U103" s="7" t="n">
        <f aca="false">IF(OR(T103="",T91=""),"",T103/T91-1)</f>
        <v>0.00686062208779847</v>
      </c>
      <c r="V103" s="6" t="n">
        <v>719700</v>
      </c>
      <c r="W103" s="7" t="n">
        <f aca="false">IF(OR(V103="",V91=""),"",V103/V91-1)</f>
        <v>0.0359121986326016</v>
      </c>
      <c r="X103" s="6" t="n">
        <v>21692.9</v>
      </c>
      <c r="Y103" s="7" t="n">
        <f aca="false">IF(OR(X103="",X91=""),"",X103/X91-1)</f>
        <v>0.0533602020005828</v>
      </c>
      <c r="Z103" s="6" t="n">
        <v>18301.6</v>
      </c>
      <c r="AA103" s="7" t="n">
        <f aca="false">IF(OR(Z103="",Z91=""),"",Z103/Z91-1)</f>
        <v>0.0126487024843689</v>
      </c>
      <c r="AB103" s="10" t="n">
        <v>330.408</v>
      </c>
      <c r="AC103" s="7" t="n">
        <f aca="false">IF(OR(AB103="",AB91=""),"",AB103/AB91-1)</f>
        <v>0.00827596308773981</v>
      </c>
      <c r="AD103" s="8" t="n">
        <v>103.13</v>
      </c>
      <c r="AE103" s="8" t="n">
        <v>91.3836</v>
      </c>
      <c r="AF103" s="6" t="n">
        <v>4856</v>
      </c>
      <c r="AG103" s="7" t="n">
        <f aca="false">IF(OR(AF103="",AF91=""),"",AF103/AF91-1)</f>
        <v>0.627891384512236</v>
      </c>
      <c r="AH103" s="10" t="n">
        <v>25.25</v>
      </c>
      <c r="AI103" s="13" t="n">
        <v>1.1557</v>
      </c>
      <c r="AJ103" s="14"/>
    </row>
    <row r="104" customFormat="false" ht="15" hidden="false" customHeight="false" outlineLevel="0" collapsed="false">
      <c r="A104" s="5" t="n">
        <v>46113</v>
      </c>
      <c r="B104" s="6" t="n">
        <v>6957.01</v>
      </c>
      <c r="C104" s="7" t="n">
        <f aca="false">IF(OR(B104="",B92=""),"",B104/B92-1)</f>
        <v>0.295653226557408</v>
      </c>
      <c r="D104" s="8" t="n">
        <v>4.32</v>
      </c>
      <c r="E104" s="8" t="n">
        <v>3.6936</v>
      </c>
      <c r="F104" s="8" t="n">
        <v>3.64</v>
      </c>
      <c r="G104" s="9" t="n">
        <f aca="false">IF(OR(D104="",E104=""),"",D104-E104)</f>
        <v>0.6264</v>
      </c>
      <c r="H104" s="10" t="n">
        <v>333.02</v>
      </c>
      <c r="I104" s="7" t="n">
        <f aca="false">IF(OR(H104="",H92=""),"",H104/H92-1)</f>
        <v>0.0381084493212176</v>
      </c>
      <c r="J104" s="10" t="n">
        <v>4.3</v>
      </c>
      <c r="K104" s="8" t="n">
        <v>0.13</v>
      </c>
      <c r="L104" s="11" t="n">
        <v>32563.03</v>
      </c>
      <c r="M104" s="7" t="n">
        <f aca="false">IF(OR(L104="",L92=""),"",L104/L92-1)</f>
        <v>0.0631030042467273</v>
      </c>
      <c r="N104" s="17"/>
      <c r="O104" s="11" t="n">
        <v>1279.734</v>
      </c>
      <c r="P104" s="7" t="n">
        <f aca="false">IF(OR(O104="",L104="",L104=0),"",O104/L104)</f>
        <v>0.0393002125416462</v>
      </c>
      <c r="Q104" s="6" t="n">
        <v>22756.6</v>
      </c>
      <c r="R104" s="7" t="n">
        <f aca="false">IF(OR(Q104="",Q92=""),"",Q104/Q92-1)</f>
        <v>0.0452808348797471</v>
      </c>
      <c r="S104" s="8" t="n">
        <v>6.6965</v>
      </c>
      <c r="T104" s="10" t="n">
        <v>102.5783</v>
      </c>
      <c r="U104" s="7" t="n">
        <f aca="false">IF(OR(T104="",T92=""),"",T104/T92-1)</f>
        <v>0.014342233943353</v>
      </c>
      <c r="V104" s="6" t="n">
        <v>723921</v>
      </c>
      <c r="W104" s="7" t="n">
        <f aca="false">IF(OR(V104="",V92=""),"",V104/V92-1)</f>
        <v>0.0409180058205745</v>
      </c>
      <c r="X104" s="6" t="n">
        <v>21856.9</v>
      </c>
      <c r="Y104" s="7" t="n">
        <f aca="false">IF(OR(X104="",X92=""),"",X104/X92-1)</f>
        <v>0.0582302873023404</v>
      </c>
      <c r="Z104" s="6" t="n">
        <v>18231.9</v>
      </c>
      <c r="AA104" s="7" t="n">
        <f aca="false">IF(OR(Z104="",Z92=""),"",Z104/Z92-1)</f>
        <v>0.00229795328228</v>
      </c>
      <c r="AB104" s="10" t="n">
        <v>333.15</v>
      </c>
      <c r="AC104" s="7" t="n">
        <f aca="false">IF(OR(AB104="",AB92=""),"",AB104/AB92-1)</f>
        <v>0.010010671582062</v>
      </c>
      <c r="AD104" s="8" t="n">
        <v>117.29</v>
      </c>
      <c r="AE104" s="8" t="n">
        <v>100.3167</v>
      </c>
      <c r="AF104" s="6" t="n">
        <v>4721</v>
      </c>
      <c r="AG104" s="7" t="n">
        <f aca="false">IF(OR(AF104="",AF92=""),"",AF104/AF92-1)</f>
        <v>0.467060285891858</v>
      </c>
      <c r="AH104" s="10" t="n">
        <v>16.89</v>
      </c>
      <c r="AI104" s="13" t="n">
        <v>1.1697</v>
      </c>
      <c r="AJ104" s="14"/>
    </row>
    <row r="105" customFormat="false" ht="15" hidden="false" customHeight="false" outlineLevel="0" collapsed="false">
      <c r="A105" s="5" t="n">
        <v>46143</v>
      </c>
      <c r="B105" s="6" t="n">
        <v>7412.55</v>
      </c>
      <c r="C105" s="7" t="n">
        <f aca="false">IF(OR(B105="",B93=""),"",B105/B93-1)</f>
        <v>0.275624169666765</v>
      </c>
      <c r="D105" s="8" t="n">
        <v>4.48</v>
      </c>
      <c r="E105" s="8" t="n">
        <v>3.792</v>
      </c>
      <c r="F105" s="8" t="n">
        <v>3.63</v>
      </c>
      <c r="G105" s="9" t="n">
        <f aca="false">IF(OR(D105="",E105=""),"",D105-E105)</f>
        <v>0.688000000000001</v>
      </c>
      <c r="H105" s="10" t="n">
        <v>335.123</v>
      </c>
      <c r="I105" s="7" t="n">
        <f aca="false">IF(OR(H105="",H93=""),"",H105/H93-1)</f>
        <v>0.0424867403916445</v>
      </c>
      <c r="J105" s="10" t="n">
        <v>4.3</v>
      </c>
      <c r="K105" s="8" t="n">
        <v>0.1</v>
      </c>
      <c r="L105" s="11" t="n">
        <v>32563.03</v>
      </c>
      <c r="M105" s="7" t="n">
        <f aca="false">IF(OR(L105="",L93=""),"",L105/L93-1)</f>
        <v>0.0631030042467273</v>
      </c>
      <c r="N105" s="17"/>
      <c r="O105" s="11" t="n">
        <v>1279.734</v>
      </c>
      <c r="P105" s="7" t="n">
        <f aca="false">IF(OR(O105="",L105="",L105=0),"",O105/L105)</f>
        <v>0.0393002125416462</v>
      </c>
      <c r="Q105" s="6" t="n">
        <v>23013.7</v>
      </c>
      <c r="R105" s="7" t="n">
        <f aca="false">IF(OR(Q105="",Q93=""),"",Q105/Q93-1)</f>
        <v>0.0539290441058615</v>
      </c>
      <c r="S105" s="8" t="n">
        <v>6.714</v>
      </c>
      <c r="T105" s="10" t="n">
        <v>102.6396</v>
      </c>
      <c r="U105" s="7" t="n">
        <f aca="false">IF(OR(T105="",T93=""),"",T105/T93-1)</f>
        <v>0.0165809113013851</v>
      </c>
      <c r="V105" s="6" t="n">
        <v>731415</v>
      </c>
      <c r="W105" s="7" t="n">
        <f aca="false">IF(OR(V105="",V93=""),"",V105/V93-1)</f>
        <v>0.0669989846649395</v>
      </c>
      <c r="X105" s="6" t="n">
        <v>22027.2</v>
      </c>
      <c r="Y105" s="7" t="n">
        <f aca="false">IF(OR(X105="",X93=""),"",X105/X93-1)</f>
        <v>0.0658614832987357</v>
      </c>
      <c r="Z105" s="6" t="n">
        <v>18292.8</v>
      </c>
      <c r="AA105" s="7" t="n">
        <f aca="false">IF(OR(Z105="",Z93=""),"",Z105/Z93-1)</f>
        <v>0.0122177954847278</v>
      </c>
      <c r="AB105" s="10" t="n">
        <v>335.584</v>
      </c>
      <c r="AC105" s="7" t="n">
        <f aca="false">IF(OR(AB105="",AB93=""),"",AB105/AB93-1)</f>
        <v>0.0127260710933799</v>
      </c>
      <c r="AD105" s="8" t="n">
        <v>107.14</v>
      </c>
      <c r="AE105" s="8" t="n">
        <v>102.134</v>
      </c>
      <c r="AF105" s="6" t="n">
        <v>4587</v>
      </c>
      <c r="AG105" s="7" t="n">
        <f aca="false">IF(OR(AF105="",AF93=""),"",AF105/AF93-1)</f>
        <v>0.386219401631913</v>
      </c>
      <c r="AH105" s="10" t="n">
        <v>15.32</v>
      </c>
      <c r="AI105" s="13" t="n">
        <v>1.1681</v>
      </c>
      <c r="AJ105" s="14"/>
    </row>
    <row r="106" customFormat="false" ht="15" hidden="false" customHeight="false" outlineLevel="0" collapsed="false">
      <c r="A106" s="5" t="n">
        <v>46174</v>
      </c>
      <c r="B106" s="6" t="n">
        <v>7450.03</v>
      </c>
      <c r="C106" s="7" t="n">
        <f aca="false">IF(OR(B106="",B94=""),"",B106/B94-1)</f>
        <v>0.235504440335326</v>
      </c>
      <c r="D106" s="8" t="n">
        <v>4.47</v>
      </c>
      <c r="E106" s="8" t="n">
        <v>3.9095</v>
      </c>
      <c r="F106" s="8" t="n">
        <v>3.63</v>
      </c>
      <c r="G106" s="9" t="n">
        <f aca="false">IF(OR(D106="",E106=""),"",D106-E106)</f>
        <v>0.5605</v>
      </c>
      <c r="H106" s="10" t="n">
        <v>333.952</v>
      </c>
      <c r="I106" s="7" t="n">
        <f aca="false">IF(OR(H106="",H94=""),"",H106/H94-1)</f>
        <v>0.0353142506378639</v>
      </c>
      <c r="J106" s="10" t="n">
        <v>4.2</v>
      </c>
      <c r="K106" s="8" t="n">
        <v>0.07</v>
      </c>
      <c r="L106" s="11" t="n">
        <v>32563.03</v>
      </c>
      <c r="M106" s="7" t="n">
        <f aca="false">IF(OR(L106="",L94=""),"",L106/L94-1)</f>
        <v>0.0631030042467273</v>
      </c>
      <c r="N106" s="17"/>
      <c r="O106" s="11" t="n">
        <v>1279.734</v>
      </c>
      <c r="P106" s="7" t="n">
        <f aca="false">IF(OR(O106="",L106="",L106=0),"",O106/L106)</f>
        <v>0.0393002125416462</v>
      </c>
      <c r="Q106" s="6" t="n">
        <v>23114.9</v>
      </c>
      <c r="R106" s="7" t="n">
        <f aca="false">IF(OR(Q106="",Q94=""),"",Q106/Q94-1)</f>
        <v>0.0534257562914151</v>
      </c>
      <c r="S106" s="8" t="n">
        <v>6.7272</v>
      </c>
      <c r="T106" s="10" t="n">
        <v>102.842</v>
      </c>
      <c r="U106" s="7" t="n">
        <f aca="false">IF(OR(T106="",T94=""),"",T106/T94-1)</f>
        <v>0.0134363436590017</v>
      </c>
      <c r="V106" s="6" t="n">
        <v>732898</v>
      </c>
      <c r="W106" s="7" t="n">
        <f aca="false">IF(OR(V106="",V94=""),"",V106/V94-1)</f>
        <v>0.0592802540313897</v>
      </c>
      <c r="X106" s="6" t="n">
        <v>22095.5</v>
      </c>
      <c r="Y106" s="7" t="n">
        <f aca="false">IF(OR(X106="",X94=""),"",X106/X94-1)</f>
        <v>0.0623142975278133</v>
      </c>
      <c r="Z106" s="6" t="n">
        <v>18358.4</v>
      </c>
      <c r="AA106" s="7" t="n">
        <f aca="false">IF(OR(Z106="",Z94=""),"",Z106/Z94-1)</f>
        <v>0.0149154716230113</v>
      </c>
      <c r="AB106" s="10" t="n">
        <v>336.908</v>
      </c>
      <c r="AC106" s="7" t="n">
        <f aca="false">IF(OR(AB106="",AB94=""),"",AB106/AB94-1)</f>
        <v>0.0161175519658345</v>
      </c>
      <c r="AD106" s="8" t="n">
        <v>85.4</v>
      </c>
      <c r="AE106" s="8" t="n">
        <v>84.8071</v>
      </c>
      <c r="AF106" s="6" t="n">
        <v>4228</v>
      </c>
      <c r="AG106" s="7" t="n">
        <f aca="false">IF(OR(AF106="",AF94=""),"",AF106/AF94-1)</f>
        <v>0.260960334029227</v>
      </c>
      <c r="AH106" s="10" t="n">
        <v>16.45</v>
      </c>
      <c r="AI106" s="13" t="n">
        <v>1.1516</v>
      </c>
      <c r="AJ106" s="14"/>
    </row>
    <row r="107" customFormat="false" ht="15" hidden="false" customHeight="false" outlineLevel="0" collapsed="false">
      <c r="A107" s="5" t="n">
        <v>46204</v>
      </c>
      <c r="B107" s="6" t="n">
        <v>7481.34</v>
      </c>
      <c r="C107" s="7" t="n">
        <f aca="false">IF(OR(B107="",B95=""),"",B107/B95-1)</f>
        <v>0.188174382593504</v>
      </c>
      <c r="D107" s="8" t="n">
        <v>4.6</v>
      </c>
      <c r="E107" s="8" t="n">
        <v>4.0509</v>
      </c>
      <c r="F107" s="8" t="n">
        <v>3.63</v>
      </c>
      <c r="G107" s="9" t="n">
        <f aca="false">IF(OR(D107="",E107=""),"",D107-E107)</f>
        <v>0.549099999999999</v>
      </c>
      <c r="H107" s="10" t="n">
        <v>333.918</v>
      </c>
      <c r="I107" s="7" t="n">
        <f aca="false">IF(OR(H107="",H95=""),"",H107/H95-1)</f>
        <v>0.033648250414799</v>
      </c>
      <c r="J107" s="10" t="n">
        <v>4.1</v>
      </c>
      <c r="K107" s="8" t="n">
        <v>-0.03</v>
      </c>
      <c r="L107" s="18"/>
      <c r="M107" s="7" t="str">
        <f aca="false">IF(OR(L107="",L95=""),"",L107/L95-1)</f>
        <v/>
      </c>
      <c r="N107" s="17"/>
      <c r="O107" s="18"/>
      <c r="P107" s="7" t="str">
        <f aca="false">IF(OR(O107="",L107="",L107=0),"",O107/L107)</f>
        <v/>
      </c>
      <c r="Q107" s="6" t="n">
        <v>23217.9</v>
      </c>
      <c r="R107" s="7" t="n">
        <f aca="false">IF(OR(Q107="",Q95=""),"",Q107/Q95-1)</f>
        <v>0.0541324640418424</v>
      </c>
      <c r="S107" s="8" t="n">
        <v>6.7378</v>
      </c>
      <c r="T107" s="10" t="n">
        <v>103.0454</v>
      </c>
      <c r="U107" s="7" t="n">
        <f aca="false">IF(OR(T107="",T95=""),"",T107/T95-1)</f>
        <v>0.0112999784089347</v>
      </c>
      <c r="V107" s="6" t="n">
        <v>729538</v>
      </c>
      <c r="W107" s="7" t="n">
        <f aca="false">IF(OR(V107="",V95=""),"",V107/V95-1)</f>
        <v>0.0447642779400814</v>
      </c>
      <c r="X107" s="6" t="n">
        <v>22117.7</v>
      </c>
      <c r="Y107" s="7" t="n">
        <f aca="false">IF(OR(X107="",X95=""),"",X107/X95-1)</f>
        <v>0.0568876868381818</v>
      </c>
      <c r="Z107" s="6" t="n">
        <v>18415.4</v>
      </c>
      <c r="AA107" s="7" t="n">
        <f aca="false">IF(OR(Z107="",Z95=""),"",Z107/Z95-1)</f>
        <v>0.0149357377482859</v>
      </c>
      <c r="AB107" s="10" t="n">
        <v>337.306</v>
      </c>
      <c r="AC107" s="7" t="n">
        <f aca="false">IF(OR(AB107="",AB95=""),"",AB107/AB95-1)</f>
        <v>0.0192884749624533</v>
      </c>
      <c r="AD107" s="8" t="n">
        <v>83.76</v>
      </c>
      <c r="AE107" s="8" t="n">
        <v>80.4564</v>
      </c>
      <c r="AF107" s="6" t="n">
        <v>4073</v>
      </c>
      <c r="AG107" s="7" t="n">
        <f aca="false">IF(OR(AF107="",AF95=""),"",AF107/AF95-1)</f>
        <v>0.219461077844311</v>
      </c>
      <c r="AH107" s="10" t="n">
        <v>15.99</v>
      </c>
      <c r="AI107" s="13" t="n">
        <v>1.1423</v>
      </c>
      <c r="AJ107" s="14"/>
    </row>
    <row r="108" customFormat="false" ht="15" hidden="false" customHeight="false" outlineLevel="0" collapsed="false">
      <c r="A108" s="5" t="n">
        <v>46235</v>
      </c>
      <c r="B108" s="6" t="n">
        <v>7711.32</v>
      </c>
      <c r="C108" s="7" t="n">
        <f aca="false">IF(OR(B108="",B96=""),"",B108/B96-1)</f>
        <v>0.203211134429197</v>
      </c>
      <c r="D108" s="8" t="n">
        <v>4.68</v>
      </c>
      <c r="E108" s="8" t="n">
        <v>4.0314</v>
      </c>
      <c r="F108" s="8" t="n">
        <v>3.63</v>
      </c>
      <c r="G108" s="9" t="n">
        <f aca="false">IF(OR(D108="",E108=""),"",D108-E108)</f>
        <v>0.6486</v>
      </c>
      <c r="H108" s="10" t="n">
        <v>334.98</v>
      </c>
      <c r="I108" s="7" t="n">
        <f aca="false">IF(OR(H108="",H96=""),"",H108/H96-1)</f>
        <v>0.0339654789243649</v>
      </c>
      <c r="J108" s="10" t="n">
        <v>4.1</v>
      </c>
      <c r="K108" s="8" t="n">
        <v>-0.07</v>
      </c>
      <c r="L108" s="18"/>
      <c r="M108" s="7" t="str">
        <f aca="false">IF(OR(L108="",L96=""),"",L108/L96-1)</f>
        <v/>
      </c>
      <c r="N108" s="17"/>
      <c r="O108" s="18"/>
      <c r="P108" s="7" t="str">
        <f aca="false">IF(OR(O108="",L108="",L108=0),"",O108/L108)</f>
        <v/>
      </c>
      <c r="Q108" s="6" t="n">
        <v>23342.8</v>
      </c>
      <c r="R108" s="7" t="n">
        <f aca="false">IF(OR(Q108="",Q96=""),"",Q108/Q96-1)</f>
        <v>0.056589084127717</v>
      </c>
      <c r="S108" s="8" t="n">
        <v>6.7463</v>
      </c>
      <c r="T108" s="10" t="n">
        <v>103.0682</v>
      </c>
      <c r="U108" s="7" t="n">
        <f aca="false">IF(OR(T108="",T96=""),"",T108/T96-1)</f>
        <v>0.0142042239731088</v>
      </c>
      <c r="V108" s="6" t="n">
        <v>737763</v>
      </c>
      <c r="W108" s="7" t="n">
        <f aca="false">IF(OR(V108="",V96=""),"",V108/V96-1)</f>
        <v>0.0536190157922247</v>
      </c>
      <c r="X108" s="6" t="n">
        <v>22308.5</v>
      </c>
      <c r="Y108" s="7" t="n">
        <f aca="false">IF(OR(X108="",X96=""),"",X108/X96-1)</f>
        <v>0.0608193252336005</v>
      </c>
      <c r="Z108" s="6" t="n">
        <v>18410.5</v>
      </c>
      <c r="AA108" s="7" t="n">
        <f aca="false">IF(OR(Z108="",Z96=""),"",Z108/Z96-1)</f>
        <v>0.0130130956311214</v>
      </c>
      <c r="AB108" s="16"/>
      <c r="AC108" s="7" t="str">
        <f aca="false">IF(OR(AB108="",AB96=""),"",AB108/AB96-1)</f>
        <v/>
      </c>
      <c r="AD108" s="8" t="n">
        <v>91.08</v>
      </c>
      <c r="AE108" s="8" t="n">
        <v>83.8976</v>
      </c>
      <c r="AF108" s="6" t="n">
        <v>4411</v>
      </c>
      <c r="AG108" s="7" t="n">
        <f aca="false">IF(OR(AF108="",AF96=""),"",AF108/AF96-1)</f>
        <v>0.309679334916865</v>
      </c>
      <c r="AH108" s="10" t="n">
        <v>14.92</v>
      </c>
      <c r="AI108" s="13" t="n">
        <v>1.1594</v>
      </c>
      <c r="AJ108" s="14"/>
    </row>
    <row r="109" customFormat="false" ht="15" hidden="false" customHeight="false" outlineLevel="0" collapsed="false">
      <c r="A109" s="5" t="n">
        <v>46266</v>
      </c>
      <c r="B109" s="6" t="n">
        <v>7669.41</v>
      </c>
      <c r="C109" s="7" t="n">
        <f aca="false">IF(OR(B109="",B97=""),"",B109/B97-1)</f>
        <v>0.164852172381007</v>
      </c>
      <c r="D109" s="14"/>
      <c r="E109" s="8" t="n">
        <v>4.3652</v>
      </c>
      <c r="F109" s="8" t="n">
        <v>3.75</v>
      </c>
      <c r="G109" s="9" t="str">
        <f aca="false">IF(OR(D109="",E109=""),"",D109-E109)</f>
        <v/>
      </c>
      <c r="H109" s="16"/>
      <c r="I109" s="7" t="str">
        <f aca="false">IF(OR(H109="",H97=""),"",H109/H97-1)</f>
        <v/>
      </c>
      <c r="J109" s="10" t="n">
        <v>4.2</v>
      </c>
      <c r="K109" s="8" t="n">
        <v>0</v>
      </c>
      <c r="L109" s="18"/>
      <c r="M109" s="7" t="str">
        <f aca="false">IF(OR(L109="",L97=""),"",L109/L97-1)</f>
        <v/>
      </c>
      <c r="N109" s="17"/>
      <c r="O109" s="18"/>
      <c r="P109" s="7" t="str">
        <f aca="false">IF(OR(O109="",L109="",L109=0),"",O109/L109)</f>
        <v/>
      </c>
      <c r="Q109" s="19"/>
      <c r="R109" s="7" t="str">
        <f aca="false">IF(OR(Q109="",Q97=""),"",Q109/Q97-1)</f>
        <v/>
      </c>
      <c r="S109" s="8" t="n">
        <v>6.743</v>
      </c>
      <c r="T109" s="16"/>
      <c r="U109" s="7" t="str">
        <f aca="false">IF(OR(T109="",T97=""),"",T109/T97-1)</f>
        <v/>
      </c>
      <c r="V109" s="19"/>
      <c r="W109" s="7" t="str">
        <f aca="false">IF(OR(V109="",V97=""),"",V109/V97-1)</f>
        <v/>
      </c>
      <c r="X109" s="19"/>
      <c r="Y109" s="7" t="str">
        <f aca="false">IF(OR(X109="",X97=""),"",X109/X97-1)</f>
        <v/>
      </c>
      <c r="Z109" s="19"/>
      <c r="AA109" s="7" t="str">
        <f aca="false">IF(OR(Z109="",Z97=""),"",Z109/Z97-1)</f>
        <v/>
      </c>
      <c r="AB109" s="16"/>
      <c r="AC109" s="7" t="str">
        <f aca="false">IF(OR(AB109="",AB97=""),"",AB109/AB97-1)</f>
        <v/>
      </c>
      <c r="AD109" s="8" t="n">
        <v>114.16</v>
      </c>
      <c r="AE109" s="8" t="n">
        <v>97.3081</v>
      </c>
      <c r="AF109" s="6" t="n">
        <v>4319</v>
      </c>
      <c r="AG109" s="7" t="n">
        <f aca="false">IF(OR(AF109="",AF97=""),"",AF109/AF97-1)</f>
        <v>0.177480916030534</v>
      </c>
      <c r="AH109" s="10" t="n">
        <v>14.21</v>
      </c>
      <c r="AI109" s="13" t="n">
        <v>1.1505</v>
      </c>
      <c r="AJ109" s="15" t="n">
        <v>4.75</v>
      </c>
    </row>
  </sheetData>
  <autoFilter ref="A4:AJ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3" min="2" style="0" width="10"/>
    <col collapsed="false" customWidth="true" hidden="false" outlineLevel="0" max="4" min="4" style="0" width="110"/>
  </cols>
  <sheetData>
    <row r="1" customFormat="false" ht="15" hidden="false" customHeight="false" outlineLevel="0" collapsed="false">
      <c r="A1" s="1" t="s">
        <v>38</v>
      </c>
      <c r="B1" s="2"/>
      <c r="C1" s="2"/>
      <c r="D1" s="2"/>
    </row>
    <row r="2" customFormat="false" ht="15" hidden="false" customHeight="false" outlineLevel="0" collapsed="false">
      <c r="A2" s="3" t="s">
        <v>39</v>
      </c>
      <c r="B2" s="2"/>
      <c r="C2" s="2"/>
      <c r="D2" s="2"/>
    </row>
    <row r="3" customFormat="false" ht="15" hidden="false" customHeight="false" outlineLevel="0" collapsed="false">
      <c r="A3" s="2"/>
      <c r="B3" s="2"/>
      <c r="C3" s="2"/>
      <c r="D3" s="2"/>
    </row>
    <row r="4" customFormat="false" ht="15" hidden="false" customHeight="false" outlineLevel="0" collapsed="false">
      <c r="A4" s="20" t="s">
        <v>40</v>
      </c>
      <c r="B4" s="20" t="s">
        <v>2</v>
      </c>
      <c r="C4" s="20" t="s">
        <v>41</v>
      </c>
      <c r="D4" s="20" t="s">
        <v>42</v>
      </c>
    </row>
    <row r="5" customFormat="false" ht="15" hidden="false" customHeight="false" outlineLevel="0" collapsed="false">
      <c r="A5" s="21" t="s">
        <v>43</v>
      </c>
      <c r="B5" s="22" t="n">
        <v>43435</v>
      </c>
      <c r="C5" s="23" t="n">
        <v>2</v>
      </c>
      <c r="D5" s="24" t="s">
        <v>44</v>
      </c>
    </row>
    <row r="6" customFormat="false" ht="15" hidden="false" customHeight="false" outlineLevel="0" collapsed="false">
      <c r="A6" s="21" t="s">
        <v>43</v>
      </c>
      <c r="B6" s="22" t="n">
        <v>43800</v>
      </c>
      <c r="C6" s="23" t="n">
        <v>1.6</v>
      </c>
      <c r="D6" s="24" t="s">
        <v>44</v>
      </c>
    </row>
    <row r="7" customFormat="false" ht="15" hidden="false" customHeight="false" outlineLevel="0" collapsed="false">
      <c r="A7" s="21" t="s">
        <v>43</v>
      </c>
      <c r="B7" s="22" t="n">
        <v>44166</v>
      </c>
      <c r="C7" s="23" t="n">
        <v>1.5</v>
      </c>
      <c r="D7" s="24" t="s">
        <v>44</v>
      </c>
    </row>
    <row r="8" customFormat="false" ht="15" hidden="false" customHeight="false" outlineLevel="0" collapsed="false">
      <c r="A8" s="21" t="s">
        <v>43</v>
      </c>
      <c r="B8" s="22" t="n">
        <v>44348</v>
      </c>
      <c r="C8" s="23" t="n">
        <v>3.6</v>
      </c>
      <c r="D8" s="24" t="s">
        <v>44</v>
      </c>
    </row>
    <row r="9" customFormat="false" ht="15" hidden="false" customHeight="false" outlineLevel="0" collapsed="false">
      <c r="A9" s="21" t="s">
        <v>43</v>
      </c>
      <c r="B9" s="22" t="n">
        <v>44531</v>
      </c>
      <c r="C9" s="23" t="n">
        <v>4.9</v>
      </c>
      <c r="D9" s="24" t="s">
        <v>44</v>
      </c>
    </row>
    <row r="10" customFormat="false" ht="15" hidden="false" customHeight="false" outlineLevel="0" collapsed="false">
      <c r="A10" s="21" t="s">
        <v>43</v>
      </c>
      <c r="B10" s="22" t="n">
        <v>44593</v>
      </c>
      <c r="C10" s="23" t="n">
        <v>5.4</v>
      </c>
      <c r="D10" s="24" t="s">
        <v>44</v>
      </c>
    </row>
    <row r="11" customFormat="false" ht="15" hidden="false" customHeight="false" outlineLevel="0" collapsed="false">
      <c r="A11" s="21" t="s">
        <v>43</v>
      </c>
      <c r="B11" s="22" t="n">
        <v>44713</v>
      </c>
      <c r="C11" s="23" t="n">
        <v>4.9</v>
      </c>
      <c r="D11" s="24" t="s">
        <v>44</v>
      </c>
    </row>
    <row r="12" customFormat="false" ht="15" hidden="false" customHeight="false" outlineLevel="0" collapsed="false">
      <c r="A12" s="21" t="s">
        <v>43</v>
      </c>
      <c r="B12" s="22" t="n">
        <v>44896</v>
      </c>
      <c r="C12" s="23" t="n">
        <v>4.6</v>
      </c>
      <c r="D12" s="24" t="s">
        <v>44</v>
      </c>
    </row>
    <row r="13" customFormat="false" ht="15" hidden="false" customHeight="false" outlineLevel="0" collapsed="false">
      <c r="A13" s="21" t="s">
        <v>43</v>
      </c>
      <c r="B13" s="22" t="n">
        <v>45078</v>
      </c>
      <c r="C13" s="23" t="n">
        <v>4.1</v>
      </c>
      <c r="D13" s="24" t="s">
        <v>44</v>
      </c>
    </row>
    <row r="14" customFormat="false" ht="15" hidden="false" customHeight="false" outlineLevel="0" collapsed="false">
      <c r="A14" s="21" t="s">
        <v>43</v>
      </c>
      <c r="B14" s="22" t="n">
        <v>45261</v>
      </c>
      <c r="C14" s="23" t="n">
        <v>2.9</v>
      </c>
      <c r="D14" s="24" t="s">
        <v>44</v>
      </c>
    </row>
    <row r="15" customFormat="false" ht="15" hidden="false" customHeight="false" outlineLevel="0" collapsed="false">
      <c r="A15" s="21" t="s">
        <v>43</v>
      </c>
      <c r="B15" s="22" t="n">
        <v>45444</v>
      </c>
      <c r="C15" s="23" t="n">
        <v>2.6</v>
      </c>
      <c r="D15" s="24" t="s">
        <v>44</v>
      </c>
    </row>
    <row r="16" customFormat="false" ht="15" hidden="false" customHeight="false" outlineLevel="0" collapsed="false">
      <c r="A16" s="21" t="s">
        <v>43</v>
      </c>
      <c r="B16" s="22" t="n">
        <v>45627</v>
      </c>
      <c r="C16" s="23" t="n">
        <v>2.8</v>
      </c>
      <c r="D16" s="24" t="s">
        <v>44</v>
      </c>
    </row>
    <row r="17" customFormat="false" ht="15" hidden="false" customHeight="false" outlineLevel="0" collapsed="false">
      <c r="A17" s="21" t="s">
        <v>43</v>
      </c>
      <c r="B17" s="22" t="n">
        <v>45809</v>
      </c>
      <c r="C17" s="23" t="n">
        <v>2.8</v>
      </c>
      <c r="D17" s="24" t="s">
        <v>44</v>
      </c>
    </row>
    <row r="18" customFormat="false" ht="15" hidden="false" customHeight="false" outlineLevel="0" collapsed="false">
      <c r="A18" s="21" t="s">
        <v>43</v>
      </c>
      <c r="B18" s="22" t="n">
        <v>46143</v>
      </c>
      <c r="C18" s="23" t="n">
        <v>3.4</v>
      </c>
      <c r="D18" s="24" t="s">
        <v>45</v>
      </c>
    </row>
    <row r="19" customFormat="false" ht="15" hidden="false" customHeight="false" outlineLevel="0" collapsed="false">
      <c r="A19" s="21" t="s">
        <v>43</v>
      </c>
      <c r="B19" s="22" t="n">
        <v>46204</v>
      </c>
      <c r="C19" s="23" t="n">
        <v>3.3</v>
      </c>
      <c r="D19" s="24" t="s">
        <v>45</v>
      </c>
    </row>
    <row r="20" customFormat="false" ht="15" hidden="false" customHeight="false" outlineLevel="0" collapsed="false">
      <c r="A20" s="21" t="s">
        <v>43</v>
      </c>
      <c r="B20" s="22" t="n">
        <v>46235</v>
      </c>
      <c r="C20" s="23" t="n">
        <v>3</v>
      </c>
      <c r="D20" s="24" t="s">
        <v>46</v>
      </c>
    </row>
    <row r="21" customFormat="false" ht="15" hidden="false" customHeight="false" outlineLevel="0" collapsed="false">
      <c r="A21" s="21" t="s">
        <v>47</v>
      </c>
      <c r="B21" s="22" t="n">
        <v>43435</v>
      </c>
      <c r="C21" s="23" t="n">
        <v>2.2</v>
      </c>
      <c r="D21" s="24" t="s">
        <v>44</v>
      </c>
    </row>
    <row r="22" customFormat="false" ht="15" hidden="false" customHeight="false" outlineLevel="0" collapsed="false">
      <c r="A22" s="21" t="s">
        <v>47</v>
      </c>
      <c r="B22" s="22" t="n">
        <v>43800</v>
      </c>
      <c r="C22" s="23" t="n">
        <v>2.3</v>
      </c>
      <c r="D22" s="24" t="s">
        <v>44</v>
      </c>
    </row>
    <row r="23" customFormat="false" ht="15" hidden="false" customHeight="false" outlineLevel="0" collapsed="false">
      <c r="A23" s="21" t="s">
        <v>47</v>
      </c>
      <c r="B23" s="22" t="n">
        <v>44166</v>
      </c>
      <c r="C23" s="23" t="n">
        <v>1.6</v>
      </c>
      <c r="D23" s="24" t="s">
        <v>44</v>
      </c>
    </row>
    <row r="24" customFormat="false" ht="15" hidden="false" customHeight="false" outlineLevel="0" collapsed="false">
      <c r="A24" s="21" t="s">
        <v>47</v>
      </c>
      <c r="B24" s="22" t="n">
        <v>44531</v>
      </c>
      <c r="C24" s="23" t="n">
        <v>5.5</v>
      </c>
      <c r="D24" s="24" t="s">
        <v>44</v>
      </c>
    </row>
    <row r="25" customFormat="false" ht="15" hidden="false" customHeight="false" outlineLevel="0" collapsed="false">
      <c r="A25" s="21" t="s">
        <v>47</v>
      </c>
      <c r="B25" s="22" t="n">
        <v>44805</v>
      </c>
      <c r="C25" s="23" t="n">
        <v>6.6</v>
      </c>
      <c r="D25" s="24" t="s">
        <v>44</v>
      </c>
    </row>
    <row r="26" customFormat="false" ht="15" hidden="false" customHeight="false" outlineLevel="0" collapsed="false">
      <c r="A26" s="21" t="s">
        <v>47</v>
      </c>
      <c r="B26" s="22" t="n">
        <v>44896</v>
      </c>
      <c r="C26" s="23" t="n">
        <v>5.7</v>
      </c>
      <c r="D26" s="24" t="s">
        <v>44</v>
      </c>
    </row>
    <row r="27" customFormat="false" ht="15" hidden="false" customHeight="false" outlineLevel="0" collapsed="false">
      <c r="A27" s="21" t="s">
        <v>47</v>
      </c>
      <c r="B27" s="22" t="n">
        <v>45261</v>
      </c>
      <c r="C27" s="23" t="n">
        <v>3.9</v>
      </c>
      <c r="D27" s="24" t="s">
        <v>44</v>
      </c>
    </row>
    <row r="28" customFormat="false" ht="15" hidden="false" customHeight="false" outlineLevel="0" collapsed="false">
      <c r="A28" s="21" t="s">
        <v>47</v>
      </c>
      <c r="B28" s="22" t="n">
        <v>45627</v>
      </c>
      <c r="C28" s="23" t="n">
        <v>3.2</v>
      </c>
      <c r="D28" s="24" t="s">
        <v>44</v>
      </c>
    </row>
    <row r="29" customFormat="false" ht="15" hidden="false" customHeight="false" outlineLevel="0" collapsed="false">
      <c r="A29" s="21" t="s">
        <v>47</v>
      </c>
      <c r="B29" s="22" t="n">
        <v>45809</v>
      </c>
      <c r="C29" s="23" t="n">
        <v>2.9</v>
      </c>
      <c r="D29" s="24" t="s">
        <v>44</v>
      </c>
    </row>
    <row r="30" customFormat="false" ht="15" hidden="false" customHeight="false" outlineLevel="0" collapsed="false">
      <c r="A30" s="21" t="s">
        <v>47</v>
      </c>
      <c r="B30" s="22" t="n">
        <v>46235</v>
      </c>
      <c r="C30" s="23" t="n">
        <v>2.4</v>
      </c>
      <c r="D30" s="24" t="s">
        <v>45</v>
      </c>
    </row>
    <row r="31" customFormat="false" ht="15" hidden="false" customHeight="false" outlineLevel="0" collapsed="false">
      <c r="A31" s="21" t="s">
        <v>48</v>
      </c>
      <c r="B31" s="22" t="n">
        <v>43344</v>
      </c>
      <c r="C31" s="23" t="n">
        <v>3.8</v>
      </c>
      <c r="D31" s="24" t="s">
        <v>44</v>
      </c>
    </row>
    <row r="32" customFormat="false" ht="15" hidden="false" customHeight="false" outlineLevel="0" collapsed="false">
      <c r="A32" s="21" t="s">
        <v>48</v>
      </c>
      <c r="B32" s="22" t="n">
        <v>43709</v>
      </c>
      <c r="C32" s="23" t="n">
        <v>4.6</v>
      </c>
      <c r="D32" s="24" t="s">
        <v>44</v>
      </c>
    </row>
    <row r="33" customFormat="false" ht="15" hidden="false" customHeight="false" outlineLevel="0" collapsed="false">
      <c r="A33" s="21" t="s">
        <v>48</v>
      </c>
      <c r="B33" s="22" t="n">
        <v>44075</v>
      </c>
      <c r="C33" s="23" t="n">
        <v>14.7</v>
      </c>
      <c r="D33" s="24" t="s">
        <v>44</v>
      </c>
    </row>
    <row r="34" customFormat="false" ht="15" hidden="false" customHeight="false" outlineLevel="0" collapsed="false">
      <c r="A34" s="21" t="s">
        <v>48</v>
      </c>
      <c r="B34" s="22" t="n">
        <v>44440</v>
      </c>
      <c r="C34" s="23" t="n">
        <v>12.1</v>
      </c>
      <c r="D34" s="24" t="s">
        <v>44</v>
      </c>
    </row>
    <row r="35" customFormat="false" ht="15" hidden="false" customHeight="false" outlineLevel="0" collapsed="false">
      <c r="A35" s="21" t="s">
        <v>48</v>
      </c>
      <c r="B35" s="22" t="n">
        <v>44805</v>
      </c>
      <c r="C35" s="23" t="n">
        <v>5.4</v>
      </c>
      <c r="D35" s="24" t="s">
        <v>44</v>
      </c>
    </row>
    <row r="36" customFormat="false" ht="15" hidden="false" customHeight="false" outlineLevel="0" collapsed="false">
      <c r="A36" s="21" t="s">
        <v>48</v>
      </c>
      <c r="B36" s="22" t="n">
        <v>45170</v>
      </c>
      <c r="C36" s="23" t="n">
        <v>6.2</v>
      </c>
      <c r="D36" s="24" t="s">
        <v>44</v>
      </c>
    </row>
    <row r="37" customFormat="false" ht="15" hidden="false" customHeight="false" outlineLevel="0" collapsed="false">
      <c r="A37" s="21" t="s">
        <v>48</v>
      </c>
      <c r="B37" s="22" t="n">
        <v>45536</v>
      </c>
      <c r="C37" s="23" t="n">
        <v>6.4</v>
      </c>
      <c r="D37" s="24" t="s">
        <v>44</v>
      </c>
    </row>
    <row r="38" customFormat="false" ht="15" hidden="false" customHeight="false" outlineLevel="0" collapsed="false">
      <c r="A38" s="21" t="s">
        <v>48</v>
      </c>
      <c r="B38" s="22" t="n">
        <v>45901</v>
      </c>
      <c r="C38" s="23" t="n">
        <v>5.9</v>
      </c>
      <c r="D38" s="24" t="s">
        <v>44</v>
      </c>
    </row>
    <row r="39" customFormat="false" ht="15" hidden="false" customHeight="false" outlineLevel="0" collapsed="false">
      <c r="A39" s="21" t="s">
        <v>48</v>
      </c>
      <c r="B39" s="22" t="n">
        <v>46266</v>
      </c>
      <c r="C39" s="23" t="n">
        <v>6.7</v>
      </c>
      <c r="D39" s="24" t="s">
        <v>49</v>
      </c>
    </row>
    <row r="40" customFormat="false" ht="15" hidden="false" customHeight="false" outlineLevel="0" collapsed="false">
      <c r="A40" s="21" t="s">
        <v>50</v>
      </c>
      <c r="B40" s="22" t="n">
        <v>43435</v>
      </c>
      <c r="C40" s="23" t="n">
        <v>526</v>
      </c>
      <c r="D40" s="24" t="s">
        <v>44</v>
      </c>
    </row>
    <row r="41" customFormat="false" ht="15" hidden="false" customHeight="false" outlineLevel="0" collapsed="false">
      <c r="A41" s="21" t="s">
        <v>50</v>
      </c>
      <c r="B41" s="22" t="n">
        <v>43800</v>
      </c>
      <c r="C41" s="23" t="n">
        <v>360</v>
      </c>
      <c r="D41" s="24" t="s">
        <v>44</v>
      </c>
    </row>
    <row r="42" customFormat="false" ht="15" hidden="false" customHeight="false" outlineLevel="0" collapsed="false">
      <c r="A42" s="21" t="s">
        <v>50</v>
      </c>
      <c r="B42" s="22" t="n">
        <v>43891</v>
      </c>
      <c r="C42" s="23" t="n">
        <v>877</v>
      </c>
      <c r="D42" s="24" t="s">
        <v>44</v>
      </c>
    </row>
    <row r="43" customFormat="false" ht="15" hidden="false" customHeight="false" outlineLevel="0" collapsed="false">
      <c r="A43" s="21" t="s">
        <v>50</v>
      </c>
      <c r="B43" s="22" t="n">
        <v>44166</v>
      </c>
      <c r="C43" s="23" t="n">
        <v>360</v>
      </c>
      <c r="D43" s="24" t="s">
        <v>44</v>
      </c>
    </row>
    <row r="44" customFormat="false" ht="15" hidden="false" customHeight="false" outlineLevel="0" collapsed="false">
      <c r="A44" s="21" t="s">
        <v>50</v>
      </c>
      <c r="B44" s="22" t="n">
        <v>44531</v>
      </c>
      <c r="C44" s="23" t="n">
        <v>310</v>
      </c>
      <c r="D44" s="24" t="s">
        <v>44</v>
      </c>
    </row>
    <row r="45" customFormat="false" ht="15" hidden="false" customHeight="false" outlineLevel="0" collapsed="false">
      <c r="A45" s="21" t="s">
        <v>50</v>
      </c>
      <c r="B45" s="22" t="n">
        <v>44713</v>
      </c>
      <c r="C45" s="23" t="n">
        <v>569</v>
      </c>
      <c r="D45" s="24" t="s">
        <v>44</v>
      </c>
    </row>
    <row r="46" customFormat="false" ht="15" hidden="false" customHeight="false" outlineLevel="0" collapsed="false">
      <c r="A46" s="21" t="s">
        <v>50</v>
      </c>
      <c r="B46" s="22" t="n">
        <v>44835</v>
      </c>
      <c r="C46" s="23" t="n">
        <v>463</v>
      </c>
      <c r="D46" s="24" t="s">
        <v>44</v>
      </c>
    </row>
    <row r="47" customFormat="false" ht="15" hidden="false" customHeight="false" outlineLevel="0" collapsed="false">
      <c r="A47" s="21" t="s">
        <v>50</v>
      </c>
      <c r="B47" s="22" t="n">
        <v>44896</v>
      </c>
      <c r="C47" s="23" t="n">
        <v>469</v>
      </c>
      <c r="D47" s="24" t="s">
        <v>44</v>
      </c>
    </row>
    <row r="48" customFormat="false" ht="15" hidden="false" customHeight="false" outlineLevel="0" collapsed="false">
      <c r="A48" s="21" t="s">
        <v>50</v>
      </c>
      <c r="B48" s="22" t="n">
        <v>45261</v>
      </c>
      <c r="C48" s="23" t="n">
        <v>323</v>
      </c>
      <c r="D48" s="24" t="s">
        <v>44</v>
      </c>
    </row>
    <row r="49" customFormat="false" ht="15" hidden="false" customHeight="false" outlineLevel="0" collapsed="false">
      <c r="A49" s="21" t="s">
        <v>50</v>
      </c>
      <c r="B49" s="22" t="n">
        <v>45627</v>
      </c>
      <c r="C49" s="23" t="n">
        <v>287</v>
      </c>
      <c r="D49" s="24" t="s">
        <v>44</v>
      </c>
    </row>
    <row r="50" customFormat="false" ht="15" hidden="false" customHeight="false" outlineLevel="0" collapsed="false">
      <c r="A50" s="21" t="s">
        <v>50</v>
      </c>
      <c r="B50" s="22" t="n">
        <v>46266</v>
      </c>
      <c r="C50" s="23" t="n">
        <v>312</v>
      </c>
      <c r="D50" s="24" t="s">
        <v>51</v>
      </c>
    </row>
    <row r="51" customFormat="false" ht="15" hidden="false" customHeight="false" outlineLevel="0" collapsed="false">
      <c r="A51" s="21" t="s">
        <v>37</v>
      </c>
      <c r="B51" s="22" t="n">
        <v>45444</v>
      </c>
      <c r="C51" s="23" t="n">
        <v>4.71</v>
      </c>
      <c r="D51" s="24" t="s">
        <v>44</v>
      </c>
    </row>
    <row r="52" customFormat="false" ht="15" hidden="false" customHeight="false" outlineLevel="0" collapsed="false">
      <c r="A52" s="21" t="s">
        <v>37</v>
      </c>
      <c r="B52" s="22" t="n">
        <v>45627</v>
      </c>
      <c r="C52" s="23" t="n">
        <v>4.25</v>
      </c>
      <c r="D52" s="24" t="s">
        <v>44</v>
      </c>
    </row>
    <row r="53" customFormat="false" ht="15" hidden="false" customHeight="false" outlineLevel="0" collapsed="false">
      <c r="A53" s="21" t="s">
        <v>37</v>
      </c>
      <c r="B53" s="22" t="n">
        <v>45809</v>
      </c>
      <c r="C53" s="23" t="n">
        <v>3.72</v>
      </c>
      <c r="D53" s="24" t="s">
        <v>44</v>
      </c>
    </row>
    <row r="54" customFormat="false" ht="15" hidden="false" customHeight="false" outlineLevel="0" collapsed="false">
      <c r="A54" s="21" t="s">
        <v>37</v>
      </c>
      <c r="B54" s="22" t="n">
        <v>45992</v>
      </c>
      <c r="C54" s="23" t="n">
        <v>3.5</v>
      </c>
      <c r="D54" s="24" t="s">
        <v>44</v>
      </c>
    </row>
    <row r="55" customFormat="false" ht="15" hidden="false" customHeight="false" outlineLevel="0" collapsed="false">
      <c r="A55" s="21" t="s">
        <v>37</v>
      </c>
      <c r="B55" s="22" t="n">
        <v>46266</v>
      </c>
      <c r="C55" s="23" t="n">
        <v>4.75</v>
      </c>
      <c r="D55" s="24" t="s">
        <v>52</v>
      </c>
    </row>
    <row r="56" customFormat="false" ht="15" hidden="false" customHeight="false" outlineLevel="0" collapsed="false">
      <c r="A56" s="21" t="s">
        <v>53</v>
      </c>
      <c r="B56" s="22" t="n">
        <v>43435</v>
      </c>
      <c r="C56" s="23" t="n">
        <v>0.98</v>
      </c>
      <c r="D56" s="24" t="s">
        <v>44</v>
      </c>
    </row>
    <row r="57" customFormat="false" ht="15" hidden="false" customHeight="false" outlineLevel="0" collapsed="false">
      <c r="A57" s="21" t="s">
        <v>53</v>
      </c>
      <c r="B57" s="22" t="n">
        <v>43800</v>
      </c>
      <c r="C57" s="23" t="n">
        <v>0.15</v>
      </c>
      <c r="D57" s="24" t="s">
        <v>44</v>
      </c>
    </row>
    <row r="58" customFormat="false" ht="15" hidden="false" customHeight="false" outlineLevel="0" collapsed="false">
      <c r="A58" s="21" t="s">
        <v>53</v>
      </c>
      <c r="B58" s="22" t="n">
        <v>44166</v>
      </c>
      <c r="C58" s="23" t="n">
        <v>-1.06</v>
      </c>
      <c r="D58" s="24" t="s">
        <v>44</v>
      </c>
    </row>
    <row r="59" customFormat="false" ht="15" hidden="false" customHeight="false" outlineLevel="0" collapsed="false">
      <c r="A59" s="21" t="s">
        <v>53</v>
      </c>
      <c r="B59" s="22" t="n">
        <v>44531</v>
      </c>
      <c r="C59" s="23" t="n">
        <v>-1.04</v>
      </c>
      <c r="D59" s="24" t="s">
        <v>44</v>
      </c>
    </row>
    <row r="60" customFormat="false" ht="15" hidden="false" customHeight="false" outlineLevel="0" collapsed="false">
      <c r="A60" s="21" t="s">
        <v>53</v>
      </c>
      <c r="B60" s="22" t="n">
        <v>44896</v>
      </c>
      <c r="C60" s="23" t="n">
        <v>1.58</v>
      </c>
      <c r="D60" s="24" t="s">
        <v>44</v>
      </c>
    </row>
    <row r="61" customFormat="false" ht="15" hidden="false" customHeight="false" outlineLevel="0" collapsed="false">
      <c r="A61" s="21" t="s">
        <v>53</v>
      </c>
      <c r="B61" s="22" t="n">
        <v>45200</v>
      </c>
      <c r="C61" s="23" t="n">
        <v>2.47</v>
      </c>
      <c r="D61" s="24" t="s">
        <v>44</v>
      </c>
    </row>
    <row r="62" customFormat="false" ht="15" hidden="false" customHeight="false" outlineLevel="0" collapsed="false">
      <c r="A62" s="21" t="s">
        <v>53</v>
      </c>
      <c r="B62" s="22" t="n">
        <v>45261</v>
      </c>
      <c r="C62" s="23" t="n">
        <v>1.72</v>
      </c>
      <c r="D62" s="24" t="s">
        <v>44</v>
      </c>
    </row>
    <row r="63" customFormat="false" ht="15" hidden="false" customHeight="false" outlineLevel="0" collapsed="false">
      <c r="A63" s="21" t="s">
        <v>53</v>
      </c>
      <c r="B63" s="22" t="n">
        <v>45627</v>
      </c>
      <c r="C63" s="23" t="n">
        <v>2.24</v>
      </c>
      <c r="D63" s="24" t="s">
        <v>44</v>
      </c>
    </row>
    <row r="64" customFormat="false" ht="15" hidden="false" customHeight="false" outlineLevel="0" collapsed="false">
      <c r="A64" s="21" t="s">
        <v>53</v>
      </c>
      <c r="B64" s="22" t="n">
        <v>46266</v>
      </c>
      <c r="C64" s="23" t="n">
        <v>2.89</v>
      </c>
      <c r="D64" s="24" t="s">
        <v>54</v>
      </c>
    </row>
    <row r="65" customFormat="false" ht="15" hidden="false" customHeight="false" outlineLevel="0" collapsed="false">
      <c r="A65" s="21" t="s">
        <v>55</v>
      </c>
      <c r="B65" s="22" t="n">
        <v>43800</v>
      </c>
      <c r="C65" s="23" t="n">
        <v>11.3</v>
      </c>
      <c r="D65" s="24" t="s">
        <v>56</v>
      </c>
    </row>
    <row r="66" customFormat="false" ht="15" hidden="false" customHeight="false" outlineLevel="0" collapsed="false">
      <c r="A66" s="21" t="s">
        <v>55</v>
      </c>
      <c r="B66" s="22" t="n">
        <v>43983</v>
      </c>
      <c r="C66" s="23" t="n">
        <v>9.5</v>
      </c>
      <c r="D66" s="24" t="s">
        <v>44</v>
      </c>
    </row>
    <row r="67" customFormat="false" ht="15" hidden="false" customHeight="false" outlineLevel="0" collapsed="false">
      <c r="A67" s="21" t="s">
        <v>55</v>
      </c>
      <c r="B67" s="22" t="n">
        <v>44531</v>
      </c>
      <c r="C67" s="23" t="n">
        <v>12.5</v>
      </c>
      <c r="D67" s="24" t="s">
        <v>44</v>
      </c>
    </row>
    <row r="68" customFormat="false" ht="15" hidden="false" customHeight="false" outlineLevel="0" collapsed="false">
      <c r="A68" s="21" t="s">
        <v>55</v>
      </c>
      <c r="B68" s="22" t="n">
        <v>44896</v>
      </c>
      <c r="C68" s="23" t="n">
        <v>11.5</v>
      </c>
      <c r="D68" s="24" t="s">
        <v>44</v>
      </c>
    </row>
    <row r="69" customFormat="false" ht="15" hidden="false" customHeight="false" outlineLevel="0" collapsed="false">
      <c r="A69" s="21" t="s">
        <v>55</v>
      </c>
      <c r="B69" s="22" t="n">
        <v>45261</v>
      </c>
      <c r="C69" s="23" t="n">
        <v>11.7</v>
      </c>
      <c r="D69" s="24" t="s">
        <v>44</v>
      </c>
    </row>
    <row r="70" customFormat="false" ht="15" hidden="false" customHeight="false" outlineLevel="0" collapsed="false">
      <c r="A70" s="21" t="s">
        <v>55</v>
      </c>
      <c r="B70" s="22" t="n">
        <v>45627</v>
      </c>
      <c r="C70" s="23" t="n">
        <v>12.3</v>
      </c>
      <c r="D70" s="24" t="s">
        <v>44</v>
      </c>
    </row>
    <row r="71" customFormat="false" ht="15" hidden="false" customHeight="false" outlineLevel="0" collapsed="false">
      <c r="A71" s="21" t="s">
        <v>55</v>
      </c>
      <c r="B71" s="22" t="n">
        <v>46174</v>
      </c>
      <c r="C71" s="23" t="n">
        <v>15.7</v>
      </c>
      <c r="D71" s="24" t="s">
        <v>57</v>
      </c>
    </row>
    <row r="72" customFormat="false" ht="15" hidden="false" customHeight="false" outlineLevel="0" collapsed="false">
      <c r="A72" s="21" t="s">
        <v>58</v>
      </c>
      <c r="B72" s="22" t="n">
        <v>43435</v>
      </c>
      <c r="C72" s="23" t="n">
        <v>14.4</v>
      </c>
      <c r="D72" s="24" t="s">
        <v>44</v>
      </c>
    </row>
    <row r="73" customFormat="false" ht="15" hidden="false" customHeight="false" outlineLevel="0" collapsed="false">
      <c r="A73" s="21" t="s">
        <v>58</v>
      </c>
      <c r="B73" s="22" t="n">
        <v>43800</v>
      </c>
      <c r="C73" s="23" t="n">
        <v>18.2</v>
      </c>
      <c r="D73" s="24" t="s">
        <v>44</v>
      </c>
    </row>
    <row r="74" customFormat="false" ht="15" hidden="false" customHeight="false" outlineLevel="0" collapsed="false">
      <c r="A74" s="21" t="s">
        <v>58</v>
      </c>
      <c r="B74" s="22" t="n">
        <v>43891</v>
      </c>
      <c r="C74" s="23" t="n">
        <v>13.3</v>
      </c>
      <c r="D74" s="24" t="s">
        <v>44</v>
      </c>
    </row>
    <row r="75" customFormat="false" ht="15" hidden="false" customHeight="false" outlineLevel="0" collapsed="false">
      <c r="A75" s="21" t="s">
        <v>58</v>
      </c>
      <c r="B75" s="22" t="n">
        <v>44166</v>
      </c>
      <c r="C75" s="23" t="n">
        <v>22.3</v>
      </c>
      <c r="D75" s="24" t="s">
        <v>44</v>
      </c>
    </row>
    <row r="76" customFormat="false" ht="15" hidden="false" customHeight="false" outlineLevel="0" collapsed="false">
      <c r="A76" s="21" t="s">
        <v>58</v>
      </c>
      <c r="B76" s="22" t="n">
        <v>44531</v>
      </c>
      <c r="C76" s="23" t="n">
        <v>21.2</v>
      </c>
      <c r="D76" s="24" t="s">
        <v>44</v>
      </c>
    </row>
    <row r="77" customFormat="false" ht="15" hidden="false" customHeight="false" outlineLevel="0" collapsed="false">
      <c r="A77" s="21" t="s">
        <v>58</v>
      </c>
      <c r="B77" s="22" t="n">
        <v>44896</v>
      </c>
      <c r="C77" s="23" t="n">
        <v>16.7</v>
      </c>
      <c r="D77" s="24" t="s">
        <v>44</v>
      </c>
    </row>
    <row r="78" customFormat="false" ht="15" hidden="false" customHeight="false" outlineLevel="0" collapsed="false">
      <c r="A78" s="21" t="s">
        <v>58</v>
      </c>
      <c r="B78" s="22" t="n">
        <v>45261</v>
      </c>
      <c r="C78" s="23" t="n">
        <v>19.5</v>
      </c>
      <c r="D78" s="24" t="s">
        <v>44</v>
      </c>
    </row>
    <row r="79" customFormat="false" ht="15" hidden="false" customHeight="false" outlineLevel="0" collapsed="false">
      <c r="A79" s="21" t="s">
        <v>58</v>
      </c>
      <c r="B79" s="22" t="n">
        <v>45627</v>
      </c>
      <c r="C79" s="23" t="n">
        <v>21.5</v>
      </c>
      <c r="D79" s="24" t="s">
        <v>44</v>
      </c>
    </row>
    <row r="80" customFormat="false" ht="15" hidden="false" customHeight="false" outlineLevel="0" collapsed="false">
      <c r="A80" s="21" t="s">
        <v>58</v>
      </c>
      <c r="B80" s="22" t="n">
        <v>46266</v>
      </c>
      <c r="C80" s="23" t="n">
        <v>19</v>
      </c>
      <c r="D80" s="24" t="s">
        <v>59</v>
      </c>
    </row>
    <row r="81" customFormat="false" ht="15" hidden="false" customHeight="false" outlineLevel="0" collapsed="false">
      <c r="A81" s="21" t="s">
        <v>60</v>
      </c>
      <c r="B81" s="22" t="n">
        <v>43435</v>
      </c>
      <c r="C81" s="23" t="n">
        <v>4.6</v>
      </c>
      <c r="D81" s="24" t="s">
        <v>44</v>
      </c>
    </row>
    <row r="82" customFormat="false" ht="15" hidden="false" customHeight="false" outlineLevel="0" collapsed="false">
      <c r="A82" s="21" t="s">
        <v>60</v>
      </c>
      <c r="B82" s="22" t="n">
        <v>43800</v>
      </c>
      <c r="C82" s="23" t="n">
        <v>3.7</v>
      </c>
      <c r="D82" s="24" t="s">
        <v>44</v>
      </c>
    </row>
    <row r="83" customFormat="false" ht="15" hidden="false" customHeight="false" outlineLevel="0" collapsed="false">
      <c r="A83" s="21" t="s">
        <v>60</v>
      </c>
      <c r="B83" s="22" t="n">
        <v>44166</v>
      </c>
      <c r="C83" s="23" t="n">
        <v>2.7</v>
      </c>
      <c r="D83" s="24" t="s">
        <v>44</v>
      </c>
    </row>
    <row r="84" customFormat="false" ht="15" hidden="false" customHeight="false" outlineLevel="0" collapsed="false">
      <c r="A84" s="21" t="s">
        <v>60</v>
      </c>
      <c r="B84" s="22" t="n">
        <v>44531</v>
      </c>
      <c r="C84" s="23" t="n">
        <v>3.1</v>
      </c>
      <c r="D84" s="24" t="s">
        <v>44</v>
      </c>
    </row>
    <row r="85" customFormat="false" ht="15" hidden="false" customHeight="false" outlineLevel="0" collapsed="false">
      <c r="A85" s="21" t="s">
        <v>60</v>
      </c>
      <c r="B85" s="22" t="n">
        <v>44835</v>
      </c>
      <c r="C85" s="23" t="n">
        <v>7.1</v>
      </c>
      <c r="D85" s="24" t="s">
        <v>44</v>
      </c>
    </row>
    <row r="86" customFormat="false" ht="15" hidden="false" customHeight="false" outlineLevel="0" collapsed="false">
      <c r="A86" s="21" t="s">
        <v>60</v>
      </c>
      <c r="B86" s="22" t="n">
        <v>45200</v>
      </c>
      <c r="C86" s="23" t="n">
        <v>7.8</v>
      </c>
      <c r="D86" s="24" t="s">
        <v>44</v>
      </c>
    </row>
    <row r="87" customFormat="false" ht="15" hidden="false" customHeight="false" outlineLevel="0" collapsed="false">
      <c r="A87" s="21" t="s">
        <v>60</v>
      </c>
      <c r="B87" s="22" t="n">
        <v>45261</v>
      </c>
      <c r="C87" s="23" t="n">
        <v>6.6</v>
      </c>
      <c r="D87" s="24" t="s">
        <v>44</v>
      </c>
    </row>
    <row r="88" customFormat="false" ht="15" hidden="false" customHeight="false" outlineLevel="0" collapsed="false">
      <c r="A88" s="21" t="s">
        <v>60</v>
      </c>
      <c r="B88" s="22" t="n">
        <v>45627</v>
      </c>
      <c r="C88" s="23" t="n">
        <v>6.9</v>
      </c>
      <c r="D88" s="24" t="s">
        <v>44</v>
      </c>
    </row>
    <row r="89" customFormat="false" ht="15" hidden="false" customHeight="false" outlineLevel="0" collapsed="false">
      <c r="A89" s="21" t="s">
        <v>60</v>
      </c>
      <c r="B89" s="22" t="n">
        <v>46266</v>
      </c>
      <c r="C89" s="23" t="n">
        <v>7.28</v>
      </c>
      <c r="D89" s="24" t="s">
        <v>45</v>
      </c>
    </row>
    <row r="90" customFormat="false" ht="15" hidden="false" customHeight="false" outlineLevel="0" collapsed="false">
      <c r="A90" s="21" t="s">
        <v>61</v>
      </c>
      <c r="B90" s="22" t="n">
        <v>46266</v>
      </c>
      <c r="C90" s="23" t="n">
        <v>5.28</v>
      </c>
      <c r="D90" s="24" t="s">
        <v>62</v>
      </c>
    </row>
    <row r="91" customFormat="false" ht="15" hidden="false" customHeight="false" outlineLevel="0" collapsed="false">
      <c r="A91" s="21" t="s">
        <v>63</v>
      </c>
      <c r="B91" s="22" t="n">
        <v>46266</v>
      </c>
      <c r="C91" s="23" t="n">
        <v>7723</v>
      </c>
      <c r="D91" s="24" t="s">
        <v>64</v>
      </c>
    </row>
    <row r="92" customFormat="false" ht="15" hidden="false" customHeight="false" outlineLevel="0" collapsed="false">
      <c r="A92" s="21" t="s">
        <v>65</v>
      </c>
      <c r="B92" s="22" t="n">
        <v>43435</v>
      </c>
      <c r="C92" s="23" t="n">
        <v>2.5</v>
      </c>
      <c r="D92" s="24" t="s">
        <v>44</v>
      </c>
    </row>
    <row r="93" customFormat="false" ht="15" hidden="false" customHeight="false" outlineLevel="0" collapsed="false">
      <c r="A93" s="21" t="s">
        <v>65</v>
      </c>
      <c r="B93" s="22" t="n">
        <v>43800</v>
      </c>
      <c r="C93" s="23" t="n">
        <v>1.75</v>
      </c>
      <c r="D93" s="24" t="s">
        <v>44</v>
      </c>
    </row>
    <row r="94" customFormat="false" ht="15" hidden="false" customHeight="false" outlineLevel="0" collapsed="false">
      <c r="A94" s="21" t="s">
        <v>65</v>
      </c>
      <c r="B94" s="22" t="n">
        <v>44166</v>
      </c>
      <c r="C94" s="23" t="n">
        <v>0.25</v>
      </c>
      <c r="D94" s="24" t="s">
        <v>44</v>
      </c>
    </row>
    <row r="95" customFormat="false" ht="15" hidden="false" customHeight="false" outlineLevel="0" collapsed="false">
      <c r="A95" s="21" t="s">
        <v>65</v>
      </c>
      <c r="B95" s="22" t="n">
        <v>44531</v>
      </c>
      <c r="C95" s="23" t="n">
        <v>0.25</v>
      </c>
      <c r="D95" s="24" t="s">
        <v>44</v>
      </c>
    </row>
    <row r="96" customFormat="false" ht="15" hidden="false" customHeight="false" outlineLevel="0" collapsed="false">
      <c r="A96" s="21" t="s">
        <v>65</v>
      </c>
      <c r="B96" s="22" t="n">
        <v>44896</v>
      </c>
      <c r="C96" s="23" t="n">
        <v>4.5</v>
      </c>
      <c r="D96" s="24" t="s">
        <v>44</v>
      </c>
    </row>
    <row r="97" customFormat="false" ht="15" hidden="false" customHeight="false" outlineLevel="0" collapsed="false">
      <c r="A97" s="21" t="s">
        <v>65</v>
      </c>
      <c r="B97" s="22" t="n">
        <v>45261</v>
      </c>
      <c r="C97" s="23" t="n">
        <v>5.5</v>
      </c>
      <c r="D97" s="24" t="s">
        <v>44</v>
      </c>
    </row>
    <row r="98" customFormat="false" ht="15" hidden="false" customHeight="false" outlineLevel="0" collapsed="false">
      <c r="A98" s="21" t="s">
        <v>65</v>
      </c>
      <c r="B98" s="22" t="n">
        <v>45627</v>
      </c>
      <c r="C98" s="23" t="n">
        <v>4.5</v>
      </c>
      <c r="D98" s="24" t="s">
        <v>44</v>
      </c>
    </row>
    <row r="99" customFormat="false" ht="15" hidden="false" customHeight="false" outlineLevel="0" collapsed="false">
      <c r="A99" s="21" t="s">
        <v>65</v>
      </c>
      <c r="B99" s="22" t="n">
        <v>45992</v>
      </c>
      <c r="C99" s="23" t="n">
        <v>3.75</v>
      </c>
      <c r="D99" s="24" t="s">
        <v>45</v>
      </c>
    </row>
    <row r="100" customFormat="false" ht="15" hidden="false" customHeight="false" outlineLevel="0" collapsed="false">
      <c r="A100" s="21" t="s">
        <v>65</v>
      </c>
      <c r="B100" s="22" t="n">
        <v>46266</v>
      </c>
      <c r="C100" s="23" t="n">
        <v>4</v>
      </c>
      <c r="D100" s="24"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13" min="2" style="0" width="10"/>
  </cols>
  <sheetData>
    <row r="1" customFormat="false" ht="15" hidden="false" customHeight="false" outlineLevel="0" collapsed="false">
      <c r="A1" s="1" t="s">
        <v>67</v>
      </c>
      <c r="B1" s="2"/>
      <c r="C1" s="2"/>
      <c r="D1" s="2"/>
      <c r="E1" s="2"/>
      <c r="F1" s="2"/>
      <c r="G1" s="2"/>
      <c r="H1" s="2"/>
      <c r="I1" s="2"/>
      <c r="J1" s="2"/>
      <c r="K1" s="2"/>
      <c r="L1" s="2"/>
      <c r="M1" s="2"/>
    </row>
    <row r="2" customFormat="false" ht="15" hidden="false" customHeight="false" outlineLevel="0" collapsed="false">
      <c r="A2" s="2"/>
      <c r="B2" s="2"/>
      <c r="C2" s="2"/>
      <c r="D2" s="2"/>
      <c r="E2" s="2"/>
      <c r="F2" s="2"/>
      <c r="G2" s="2"/>
      <c r="H2" s="2"/>
      <c r="I2" s="2"/>
      <c r="J2" s="2"/>
      <c r="K2" s="2"/>
      <c r="L2" s="2"/>
      <c r="M2" s="2"/>
    </row>
    <row r="3" customFormat="false" ht="15" hidden="false" customHeight="false" outlineLevel="0" collapsed="false">
      <c r="A3" s="20" t="s">
        <v>68</v>
      </c>
      <c r="B3" s="25" t="n">
        <v>43800</v>
      </c>
      <c r="C3" s="25" t="n">
        <v>43983</v>
      </c>
      <c r="D3" s="25" t="n">
        <v>44531</v>
      </c>
      <c r="E3" s="25" t="n">
        <v>44713</v>
      </c>
      <c r="F3" s="25" t="n">
        <v>44896</v>
      </c>
      <c r="G3" s="25" t="n">
        <v>45261</v>
      </c>
      <c r="H3" s="25" t="n">
        <v>45627</v>
      </c>
      <c r="I3" s="25" t="n">
        <v>45809</v>
      </c>
      <c r="J3" s="25" t="n">
        <v>45992</v>
      </c>
      <c r="K3" s="25" t="n">
        <v>46082</v>
      </c>
      <c r="L3" s="25" t="n">
        <v>46174</v>
      </c>
      <c r="M3" s="25" t="n">
        <v>46266</v>
      </c>
    </row>
    <row r="4" customFormat="false" ht="15" hidden="false" customHeight="false" outlineLevel="0" collapsed="false">
      <c r="A4" s="21" t="s">
        <v>3</v>
      </c>
      <c r="B4" s="26" t="n">
        <f aca="false">IFERROR(INDEX(Monthly!$B$5:$B$109,MATCH(B$3,Monthly!$A$5:$A$109,0)),"")</f>
        <v>3176.7495</v>
      </c>
      <c r="C4" s="26" t="n">
        <f aca="false">IFERROR(INDEX(Monthly!$B$5:$B$109,MATCH(C$3,Monthly!$A$5:$A$109,0)),"")</f>
        <v>3104.6609</v>
      </c>
      <c r="D4" s="26" t="n">
        <f aca="false">IFERROR(INDEX(Monthly!$B$5:$B$109,MATCH(D$3,Monthly!$A$5:$A$109,0)),"")</f>
        <v>4674.7727</v>
      </c>
      <c r="E4" s="26" t="n">
        <f aca="false">IFERROR(INDEX(Monthly!$B$5:$B$109,MATCH(E$3,Monthly!$A$5:$A$109,0)),"")</f>
        <v>3898.9467</v>
      </c>
      <c r="F4" s="26" t="n">
        <f aca="false">IFERROR(INDEX(Monthly!$B$5:$B$109,MATCH(F$3,Monthly!$A$5:$A$109,0)),"")</f>
        <v>3912.381</v>
      </c>
      <c r="G4" s="26" t="n">
        <f aca="false">IFERROR(INDEX(Monthly!$B$5:$B$109,MATCH(G$3,Monthly!$A$5:$A$109,0)),"")</f>
        <v>4685.05</v>
      </c>
      <c r="H4" s="26" t="n">
        <f aca="false">IFERROR(INDEX(Monthly!$B$5:$B$109,MATCH(H$3,Monthly!$A$5:$A$109,0)),"")</f>
        <v>6010.91</v>
      </c>
      <c r="I4" s="26" t="n">
        <f aca="false">IFERROR(INDEX(Monthly!$B$5:$B$109,MATCH(I$3,Monthly!$A$5:$A$109,0)),"")</f>
        <v>6029.95</v>
      </c>
      <c r="J4" s="26" t="n">
        <f aca="false">IFERROR(INDEX(Monthly!$B$5:$B$109,MATCH(J$3,Monthly!$A$5:$A$109,0)),"")</f>
        <v>6853.03</v>
      </c>
      <c r="K4" s="26" t="n">
        <f aca="false">IFERROR(INDEX(Monthly!$B$5:$B$109,MATCH(K$3,Monthly!$A$5:$A$109,0)),"")</f>
        <v>6654.42</v>
      </c>
      <c r="L4" s="26" t="n">
        <f aca="false">IFERROR(INDEX(Monthly!$B$5:$B$109,MATCH(L$3,Monthly!$A$5:$A$109,0)),"")</f>
        <v>7450.03</v>
      </c>
      <c r="M4" s="26" t="n">
        <f aca="false">IFERROR(INDEX(Monthly!$B$5:$B$109,MATCH(M$3,Monthly!$A$5:$A$109,0)),"")</f>
        <v>7669.41</v>
      </c>
    </row>
    <row r="5" customFormat="false" ht="15" hidden="false" customHeight="false" outlineLevel="0" collapsed="false">
      <c r="A5" s="21" t="s">
        <v>4</v>
      </c>
      <c r="B5" s="27" t="n">
        <f aca="false">IFERROR(INDEX(Monthly!$C$5:$C$109,MATCH(B$3,Monthly!$A$5:$A$109,0)),"")</f>
        <v>0.237384460778013</v>
      </c>
      <c r="C5" s="27" t="n">
        <f aca="false">IFERROR(INDEX(Monthly!$C$5:$C$109,MATCH(C$3,Monthly!$A$5:$A$109,0)),"")</f>
        <v>0.0742139389724479</v>
      </c>
      <c r="D5" s="27" t="n">
        <f aca="false">IFERROR(INDEX(Monthly!$C$5:$C$109,MATCH(D$3,Monthly!$A$5:$A$109,0)),"")</f>
        <v>0.265055624561945</v>
      </c>
      <c r="E5" s="27" t="n">
        <f aca="false">IFERROR(INDEX(Monthly!$C$5:$C$109,MATCH(E$3,Monthly!$A$5:$A$109,0)),"")</f>
        <v>-0.080109388026088</v>
      </c>
      <c r="F5" s="27" t="n">
        <f aca="false">IFERROR(INDEX(Monthly!$C$5:$C$109,MATCH(F$3,Monthly!$A$5:$A$109,0)),"")</f>
        <v>-0.163086367814204</v>
      </c>
      <c r="G5" s="27" t="n">
        <f aca="false">IFERROR(INDEX(Monthly!$C$5:$C$109,MATCH(G$3,Monthly!$A$5:$A$109,0)),"")</f>
        <v>0.197493291169751</v>
      </c>
      <c r="H5" s="27" t="n">
        <f aca="false">IFERROR(INDEX(Monthly!$C$5:$C$109,MATCH(H$3,Monthly!$A$5:$A$109,0)),"")</f>
        <v>0.282998046979221</v>
      </c>
      <c r="I5" s="27" t="n">
        <f aca="false">IFERROR(INDEX(Monthly!$C$5:$C$109,MATCH(I$3,Monthly!$A$5:$A$109,0)),"")</f>
        <v>0.113535384126726</v>
      </c>
      <c r="J5" s="27" t="n">
        <f aca="false">IFERROR(INDEX(Monthly!$C$5:$C$109,MATCH(J$3,Monthly!$A$5:$A$109,0)),"")</f>
        <v>0.140098587401908</v>
      </c>
      <c r="K5" s="27" t="n">
        <f aca="false">IFERROR(INDEX(Monthly!$C$5:$C$109,MATCH(K$3,Monthly!$A$5:$A$109,0)),"")</f>
        <v>0.170732479706122</v>
      </c>
      <c r="L5" s="27" t="n">
        <f aca="false">IFERROR(INDEX(Monthly!$C$5:$C$109,MATCH(L$3,Monthly!$A$5:$A$109,0)),"")</f>
        <v>0.235504440335326</v>
      </c>
      <c r="M5" s="27" t="n">
        <f aca="false">IFERROR(INDEX(Monthly!$C$5:$C$109,MATCH(M$3,Monthly!$A$5:$A$109,0)),"")</f>
        <v>0.164852172381007</v>
      </c>
    </row>
    <row r="6" customFormat="false" ht="15" hidden="false" customHeight="false" outlineLevel="0" collapsed="false">
      <c r="A6" s="21" t="s">
        <v>5</v>
      </c>
      <c r="B6" s="28" t="n">
        <f aca="false">IFERROR(INDEX(Monthly!$D$5:$D$109,MATCH(B$3,Monthly!$A$5:$A$109,0)),"")</f>
        <v>1.86</v>
      </c>
      <c r="C6" s="28" t="n">
        <f aca="false">IFERROR(INDEX(Monthly!$D$5:$D$109,MATCH(C$3,Monthly!$A$5:$A$109,0)),"")</f>
        <v>0.73</v>
      </c>
      <c r="D6" s="28" t="n">
        <f aca="false">IFERROR(INDEX(Monthly!$D$5:$D$109,MATCH(D$3,Monthly!$A$5:$A$109,0)),"")</f>
        <v>1.47</v>
      </c>
      <c r="E6" s="28" t="n">
        <f aca="false">IFERROR(INDEX(Monthly!$D$5:$D$109,MATCH(E$3,Monthly!$A$5:$A$109,0)),"")</f>
        <v>3.14</v>
      </c>
      <c r="F6" s="28" t="n">
        <f aca="false">IFERROR(INDEX(Monthly!$D$5:$D$109,MATCH(F$3,Monthly!$A$5:$A$109,0)),"")</f>
        <v>3.62</v>
      </c>
      <c r="G6" s="28" t="n">
        <f aca="false">IFERROR(INDEX(Monthly!$D$5:$D$109,MATCH(G$3,Monthly!$A$5:$A$109,0)),"")</f>
        <v>4.02</v>
      </c>
      <c r="H6" s="28" t="n">
        <f aca="false">IFERROR(INDEX(Monthly!$D$5:$D$109,MATCH(H$3,Monthly!$A$5:$A$109,0)),"")</f>
        <v>4.39</v>
      </c>
      <c r="I6" s="28" t="n">
        <f aca="false">IFERROR(INDEX(Monthly!$D$5:$D$109,MATCH(I$3,Monthly!$A$5:$A$109,0)),"")</f>
        <v>4.38</v>
      </c>
      <c r="J6" s="28" t="n">
        <f aca="false">IFERROR(INDEX(Monthly!$D$5:$D$109,MATCH(J$3,Monthly!$A$5:$A$109,0)),"")</f>
        <v>4.14</v>
      </c>
      <c r="K6" s="28" t="n">
        <f aca="false">IFERROR(INDEX(Monthly!$D$5:$D$109,MATCH(K$3,Monthly!$A$5:$A$109,0)),"")</f>
        <v>4.25</v>
      </c>
      <c r="L6" s="28" t="n">
        <f aca="false">IFERROR(INDEX(Monthly!$D$5:$D$109,MATCH(L$3,Monthly!$A$5:$A$109,0)),"")</f>
        <v>4.47</v>
      </c>
      <c r="M6" s="28" t="n">
        <f aca="false">IFERROR(INDEX(Monthly!$D$5:$D$109,MATCH(M$3,Monthly!$A$5:$A$109,0)),"")</f>
        <v>0</v>
      </c>
    </row>
    <row r="7" customFormat="false" ht="15" hidden="false" customHeight="false" outlineLevel="0" collapsed="false">
      <c r="A7" s="21" t="s">
        <v>6</v>
      </c>
      <c r="B7" s="28" t="n">
        <f aca="false">IFERROR(INDEX(Monthly!$E$5:$E$109,MATCH(B$3,Monthly!$A$5:$A$109,0)),"")</f>
        <v>1.549</v>
      </c>
      <c r="C7" s="28" t="n">
        <f aca="false">IFERROR(INDEX(Monthly!$E$5:$E$109,MATCH(C$3,Monthly!$A$5:$A$109,0)),"")</f>
        <v>0.1764</v>
      </c>
      <c r="D7" s="28" t="n">
        <f aca="false">IFERROR(INDEX(Monthly!$E$5:$E$109,MATCH(D$3,Monthly!$A$5:$A$109,0)),"")</f>
        <v>0.2991</v>
      </c>
      <c r="E7" s="28" t="n">
        <f aca="false">IFERROR(INDEX(Monthly!$E$5:$E$109,MATCH(E$3,Monthly!$A$5:$A$109,0)),"")</f>
        <v>2.6514</v>
      </c>
      <c r="F7" s="28" t="n">
        <f aca="false">IFERROR(INDEX(Monthly!$E$5:$E$109,MATCH(F$3,Monthly!$A$5:$A$109,0)),"")</f>
        <v>4.6819</v>
      </c>
      <c r="G7" s="28" t="n">
        <f aca="false">IFERROR(INDEX(Monthly!$E$5:$E$109,MATCH(G$3,Monthly!$A$5:$A$109,0)),"")</f>
        <v>4.959</v>
      </c>
      <c r="H7" s="28" t="n">
        <f aca="false">IFERROR(INDEX(Monthly!$E$5:$E$109,MATCH(H$3,Monthly!$A$5:$A$109,0)),"")</f>
        <v>4.2338</v>
      </c>
      <c r="I7" s="28" t="n">
        <f aca="false">IFERROR(INDEX(Monthly!$E$5:$E$109,MATCH(I$3,Monthly!$A$5:$A$109,0)),"")</f>
        <v>4.062</v>
      </c>
      <c r="J7" s="28" t="n">
        <f aca="false">IFERROR(INDEX(Monthly!$E$5:$E$109,MATCH(J$3,Monthly!$A$5:$A$109,0)),"")</f>
        <v>3.5418</v>
      </c>
      <c r="K7" s="28" t="n">
        <f aca="false">IFERROR(INDEX(Monthly!$E$5:$E$109,MATCH(K$3,Monthly!$A$5:$A$109,0)),"")</f>
        <v>3.6664</v>
      </c>
      <c r="L7" s="28" t="n">
        <f aca="false">IFERROR(INDEX(Monthly!$E$5:$E$109,MATCH(L$3,Monthly!$A$5:$A$109,0)),"")</f>
        <v>3.9095</v>
      </c>
      <c r="M7" s="28" t="n">
        <f aca="false">IFERROR(INDEX(Monthly!$E$5:$E$109,MATCH(M$3,Monthly!$A$5:$A$109,0)),"")</f>
        <v>4.3652</v>
      </c>
    </row>
    <row r="8" customFormat="false" ht="15" hidden="false" customHeight="false" outlineLevel="0" collapsed="false">
      <c r="A8" s="21" t="s">
        <v>7</v>
      </c>
      <c r="B8" s="28" t="n">
        <f aca="false">IFERROR(INDEX(Monthly!$F$5:$F$109,MATCH(B$3,Monthly!$A$5:$A$109,0)),"")</f>
        <v>1.55</v>
      </c>
      <c r="C8" s="28" t="n">
        <f aca="false">IFERROR(INDEX(Monthly!$F$5:$F$109,MATCH(C$3,Monthly!$A$5:$A$109,0)),"")</f>
        <v>0.08</v>
      </c>
      <c r="D8" s="28" t="n">
        <f aca="false">IFERROR(INDEX(Monthly!$F$5:$F$109,MATCH(D$3,Monthly!$A$5:$A$109,0)),"")</f>
        <v>0.08</v>
      </c>
      <c r="E8" s="28" t="n">
        <f aca="false">IFERROR(INDEX(Monthly!$F$5:$F$109,MATCH(E$3,Monthly!$A$5:$A$109,0)),"")</f>
        <v>1.21</v>
      </c>
      <c r="F8" s="28" t="n">
        <f aca="false">IFERROR(INDEX(Monthly!$F$5:$F$109,MATCH(F$3,Monthly!$A$5:$A$109,0)),"")</f>
        <v>4.1</v>
      </c>
      <c r="G8" s="28" t="n">
        <f aca="false">IFERROR(INDEX(Monthly!$F$5:$F$109,MATCH(G$3,Monthly!$A$5:$A$109,0)),"")</f>
        <v>5.33</v>
      </c>
      <c r="H8" s="28" t="n">
        <f aca="false">IFERROR(INDEX(Monthly!$F$5:$F$109,MATCH(H$3,Monthly!$A$5:$A$109,0)),"")</f>
        <v>4.48</v>
      </c>
      <c r="I8" s="28" t="n">
        <f aca="false">IFERROR(INDEX(Monthly!$F$5:$F$109,MATCH(I$3,Monthly!$A$5:$A$109,0)),"")</f>
        <v>4.33</v>
      </c>
      <c r="J8" s="28" t="n">
        <f aca="false">IFERROR(INDEX(Monthly!$F$5:$F$109,MATCH(J$3,Monthly!$A$5:$A$109,0)),"")</f>
        <v>3.72</v>
      </c>
      <c r="K8" s="28" t="n">
        <f aca="false">IFERROR(INDEX(Monthly!$F$5:$F$109,MATCH(K$3,Monthly!$A$5:$A$109,0)),"")</f>
        <v>3.64</v>
      </c>
      <c r="L8" s="28" t="n">
        <f aca="false">IFERROR(INDEX(Monthly!$F$5:$F$109,MATCH(L$3,Monthly!$A$5:$A$109,0)),"")</f>
        <v>3.63</v>
      </c>
      <c r="M8" s="28" t="n">
        <f aca="false">IFERROR(INDEX(Monthly!$F$5:$F$109,MATCH(M$3,Monthly!$A$5:$A$109,0)),"")</f>
        <v>3.75</v>
      </c>
    </row>
    <row r="9" customFormat="false" ht="15" hidden="false" customHeight="false" outlineLevel="0" collapsed="false">
      <c r="A9" s="21" t="s">
        <v>8</v>
      </c>
      <c r="B9" s="28" t="n">
        <f aca="false">IFERROR(INDEX(Monthly!$G$5:$G$109,MATCH(B$3,Monthly!$A$5:$A$109,0)),"")</f>
        <v>0.311</v>
      </c>
      <c r="C9" s="28" t="n">
        <f aca="false">IFERROR(INDEX(Monthly!$G$5:$G$109,MATCH(C$3,Monthly!$A$5:$A$109,0)),"")</f>
        <v>0.5536</v>
      </c>
      <c r="D9" s="28" t="n">
        <f aca="false">IFERROR(INDEX(Monthly!$G$5:$G$109,MATCH(D$3,Monthly!$A$5:$A$109,0)),"")</f>
        <v>1.1709</v>
      </c>
      <c r="E9" s="28" t="n">
        <f aca="false">IFERROR(INDEX(Monthly!$G$5:$G$109,MATCH(E$3,Monthly!$A$5:$A$109,0)),"")</f>
        <v>0.4886</v>
      </c>
      <c r="F9" s="28" t="n">
        <f aca="false">IFERROR(INDEX(Monthly!$G$5:$G$109,MATCH(F$3,Monthly!$A$5:$A$109,0)),"")</f>
        <v>-1.0619</v>
      </c>
      <c r="G9" s="28" t="n">
        <f aca="false">IFERROR(INDEX(Monthly!$G$5:$G$109,MATCH(G$3,Monthly!$A$5:$A$109,0)),"")</f>
        <v>-0.939</v>
      </c>
      <c r="H9" s="28" t="n">
        <f aca="false">IFERROR(INDEX(Monthly!$G$5:$G$109,MATCH(H$3,Monthly!$A$5:$A$109,0)),"")</f>
        <v>0.1562</v>
      </c>
      <c r="I9" s="28" t="n">
        <f aca="false">IFERROR(INDEX(Monthly!$G$5:$G$109,MATCH(I$3,Monthly!$A$5:$A$109,0)),"")</f>
        <v>0.318</v>
      </c>
      <c r="J9" s="28" t="n">
        <f aca="false">IFERROR(INDEX(Monthly!$G$5:$G$109,MATCH(J$3,Monthly!$A$5:$A$109,0)),"")</f>
        <v>0.5982</v>
      </c>
      <c r="K9" s="28" t="n">
        <f aca="false">IFERROR(INDEX(Monthly!$G$5:$G$109,MATCH(K$3,Monthly!$A$5:$A$109,0)),"")</f>
        <v>0.5836</v>
      </c>
      <c r="L9" s="28" t="n">
        <f aca="false">IFERROR(INDEX(Monthly!$G$5:$G$109,MATCH(L$3,Monthly!$A$5:$A$109,0)),"")</f>
        <v>0.5605</v>
      </c>
      <c r="M9" s="28" t="str">
        <f aca="false">IFERROR(INDEX(Monthly!$G$5:$G$109,MATCH(M$3,Monthly!$A$5:$A$109,0)),"")</f>
        <v/>
      </c>
    </row>
    <row r="10" customFormat="false" ht="15" hidden="false" customHeight="false" outlineLevel="0" collapsed="false">
      <c r="A10" s="21" t="s">
        <v>10</v>
      </c>
      <c r="B10" s="27" t="n">
        <f aca="false">IFERROR(INDEX(Monthly!$I$5:$I$109,MATCH(B$3,Monthly!$A$5:$A$109,0)),"")</f>
        <v>0.0228512974012172</v>
      </c>
      <c r="C10" s="27" t="n">
        <f aca="false">IFERROR(INDEX(Monthly!$I$5:$I$109,MATCH(C$3,Monthly!$A$5:$A$109,0)),"")</f>
        <v>0.00645733047555486</v>
      </c>
      <c r="D10" s="27" t="n">
        <f aca="false">IFERROR(INDEX(Monthly!$I$5:$I$109,MATCH(D$3,Monthly!$A$5:$A$109,0)),"")</f>
        <v>0.0703640286554514</v>
      </c>
      <c r="E10" s="27" t="n">
        <f aca="false">IFERROR(INDEX(Monthly!$I$5:$I$109,MATCH(E$3,Monthly!$A$5:$A$109,0)),"")</f>
        <v>0.0905975796478415</v>
      </c>
      <c r="F10" s="27" t="n">
        <f aca="false">IFERROR(INDEX(Monthly!$I$5:$I$109,MATCH(F$3,Monthly!$A$5:$A$109,0)),"")</f>
        <v>0.0645440133141082</v>
      </c>
      <c r="G10" s="27" t="n">
        <f aca="false">IFERROR(INDEX(Monthly!$I$5:$I$109,MATCH(G$3,Monthly!$A$5:$A$109,0)),"")</f>
        <v>0.0335212283143023</v>
      </c>
      <c r="H10" s="27" t="n">
        <f aca="false">IFERROR(INDEX(Monthly!$I$5:$I$109,MATCH(H$3,Monthly!$A$5:$A$109,0)),"")</f>
        <v>0.0288805721998007</v>
      </c>
      <c r="I10" s="27" t="n">
        <f aca="false">IFERROR(INDEX(Monthly!$I$5:$I$109,MATCH(I$3,Monthly!$A$5:$A$109,0)),"")</f>
        <v>0.0266921301822232</v>
      </c>
      <c r="J10" s="27" t="n">
        <f aca="false">IFERROR(INDEX(Monthly!$I$5:$I$109,MATCH(J$3,Monthly!$A$5:$A$109,0)),"")</f>
        <v>0.0267708052787501</v>
      </c>
      <c r="K10" s="27" t="n">
        <f aca="false">IFERROR(INDEX(Monthly!$I$5:$I$109,MATCH(K$3,Monthly!$A$5:$A$109,0)),"")</f>
        <v>0.0325642043908831</v>
      </c>
      <c r="L10" s="27" t="n">
        <f aca="false">IFERROR(INDEX(Monthly!$I$5:$I$109,MATCH(L$3,Monthly!$A$5:$A$109,0)),"")</f>
        <v>0.0353142506378639</v>
      </c>
      <c r="M10" s="27" t="str">
        <f aca="false">IFERROR(INDEX(Monthly!$I$5:$I$109,MATCH(M$3,Monthly!$A$5:$A$109,0)),"")</f>
        <v/>
      </c>
    </row>
    <row r="11" customFormat="false" ht="15" hidden="false" customHeight="false" outlineLevel="0" collapsed="false">
      <c r="A11" s="21" t="s">
        <v>11</v>
      </c>
      <c r="B11" s="29" t="n">
        <f aca="false">IFERROR(INDEX(Monthly!$J$5:$J$109,MATCH(B$3,Monthly!$A$5:$A$109,0)),"")</f>
        <v>3.6</v>
      </c>
      <c r="C11" s="29" t="n">
        <f aca="false">IFERROR(INDEX(Monthly!$J$5:$J$109,MATCH(C$3,Monthly!$A$5:$A$109,0)),"")</f>
        <v>11</v>
      </c>
      <c r="D11" s="29" t="n">
        <f aca="false">IFERROR(INDEX(Monthly!$J$5:$J$109,MATCH(D$3,Monthly!$A$5:$A$109,0)),"")</f>
        <v>3.9</v>
      </c>
      <c r="E11" s="29" t="n">
        <f aca="false">IFERROR(INDEX(Monthly!$J$5:$J$109,MATCH(E$3,Monthly!$A$5:$A$109,0)),"")</f>
        <v>3.6</v>
      </c>
      <c r="F11" s="29" t="n">
        <f aca="false">IFERROR(INDEX(Monthly!$J$5:$J$109,MATCH(F$3,Monthly!$A$5:$A$109,0)),"")</f>
        <v>3.5</v>
      </c>
      <c r="G11" s="29" t="n">
        <f aca="false">IFERROR(INDEX(Monthly!$J$5:$J$109,MATCH(G$3,Monthly!$A$5:$A$109,0)),"")</f>
        <v>3.8</v>
      </c>
      <c r="H11" s="29" t="n">
        <f aca="false">IFERROR(INDEX(Monthly!$J$5:$J$109,MATCH(H$3,Monthly!$A$5:$A$109,0)),"")</f>
        <v>4.1</v>
      </c>
      <c r="I11" s="29" t="n">
        <f aca="false">IFERROR(INDEX(Monthly!$J$5:$J$109,MATCH(I$3,Monthly!$A$5:$A$109,0)),"")</f>
        <v>4.1</v>
      </c>
      <c r="J11" s="29" t="n">
        <f aca="false">IFERROR(INDEX(Monthly!$J$5:$J$109,MATCH(J$3,Monthly!$A$5:$A$109,0)),"")</f>
        <v>4.4</v>
      </c>
      <c r="K11" s="29" t="n">
        <f aca="false">IFERROR(INDEX(Monthly!$J$5:$J$109,MATCH(K$3,Monthly!$A$5:$A$109,0)),"")</f>
        <v>4.3</v>
      </c>
      <c r="L11" s="29" t="n">
        <f aca="false">IFERROR(INDEX(Monthly!$J$5:$J$109,MATCH(L$3,Monthly!$A$5:$A$109,0)),"")</f>
        <v>4.2</v>
      </c>
      <c r="M11" s="29" t="n">
        <f aca="false">IFERROR(INDEX(Monthly!$J$5:$J$109,MATCH(M$3,Monthly!$A$5:$A$109,0)),"")</f>
        <v>4.2</v>
      </c>
    </row>
    <row r="12" customFormat="false" ht="15" hidden="false" customHeight="false" outlineLevel="0" collapsed="false">
      <c r="A12" s="21" t="s">
        <v>12</v>
      </c>
      <c r="B12" s="28" t="n">
        <f aca="false">IFERROR(INDEX(Monthly!$K$5:$K$109,MATCH(B$3,Monthly!$A$5:$A$109,0)),"")</f>
        <v>0.03</v>
      </c>
      <c r="C12" s="28" t="n">
        <f aca="false">IFERROR(INDEX(Monthly!$K$5:$K$109,MATCH(C$3,Monthly!$A$5:$A$109,0)),"")</f>
        <v>9.43</v>
      </c>
      <c r="D12" s="28" t="n">
        <f aca="false">IFERROR(INDEX(Monthly!$K$5:$K$109,MATCH(D$3,Monthly!$A$5:$A$109,0)),"")</f>
        <v>-0.27</v>
      </c>
      <c r="E12" s="28" t="n">
        <f aca="false">IFERROR(INDEX(Monthly!$K$5:$K$109,MATCH(E$3,Monthly!$A$5:$A$109,0)),"")</f>
        <v>-0.03</v>
      </c>
      <c r="F12" s="28" t="n">
        <f aca="false">IFERROR(INDEX(Monthly!$K$5:$K$109,MATCH(F$3,Monthly!$A$5:$A$109,0)),"")</f>
        <v>0.03</v>
      </c>
      <c r="G12" s="28" t="n">
        <f aca="false">IFERROR(INDEX(Monthly!$K$5:$K$109,MATCH(G$3,Monthly!$A$5:$A$109,0)),"")</f>
        <v>0.3</v>
      </c>
      <c r="H12" s="28" t="n">
        <f aca="false">IFERROR(INDEX(Monthly!$K$5:$K$109,MATCH(H$3,Monthly!$A$5:$A$109,0)),"")</f>
        <v>0.4</v>
      </c>
      <c r="I12" s="28" t="n">
        <f aca="false">IFERROR(INDEX(Monthly!$K$5:$K$109,MATCH(I$3,Monthly!$A$5:$A$109,0)),"")</f>
        <v>0.23</v>
      </c>
      <c r="J12" s="28" t="n">
        <f aca="false">IFERROR(INDEX(Monthly!$K$5:$K$109,MATCH(J$3,Monthly!$A$5:$A$109,0)),"")</f>
        <v>0.35</v>
      </c>
      <c r="K12" s="28" t="n">
        <f aca="false">IFERROR(INDEX(Monthly!$K$5:$K$109,MATCH(K$3,Monthly!$A$5:$A$109,0)),"")</f>
        <v>0.2</v>
      </c>
      <c r="L12" s="28" t="n">
        <f aca="false">IFERROR(INDEX(Monthly!$K$5:$K$109,MATCH(L$3,Monthly!$A$5:$A$109,0)),"")</f>
        <v>0.07</v>
      </c>
      <c r="M12" s="28" t="n">
        <f aca="false">IFERROR(INDEX(Monthly!$K$5:$K$109,MATCH(M$3,Monthly!$A$5:$A$109,0)),"")</f>
        <v>0</v>
      </c>
    </row>
    <row r="13" customFormat="false" ht="15" hidden="false" customHeight="false" outlineLevel="0" collapsed="false">
      <c r="A13" s="21" t="s">
        <v>14</v>
      </c>
      <c r="B13" s="27" t="n">
        <f aca="false">IFERROR(INDEX(Monthly!$M$5:$M$109,MATCH(B$3,Monthly!$A$5:$A$109,0)),"")</f>
        <v>0.0485398439525409</v>
      </c>
      <c r="C13" s="27" t="n">
        <f aca="false">IFERROR(INDEX(Monthly!$M$5:$M$109,MATCH(C$3,Monthly!$A$5:$A$109,0)),"")</f>
        <v>-0.0672797070446694</v>
      </c>
      <c r="D13" s="27" t="n">
        <f aca="false">IFERROR(INDEX(Monthly!$M$5:$M$109,MATCH(D$3,Monthly!$A$5:$A$109,0)),"")</f>
        <v>0.123874232812186</v>
      </c>
      <c r="E13" s="27" t="n">
        <f aca="false">IFERROR(INDEX(Monthly!$M$5:$M$109,MATCH(E$3,Monthly!$A$5:$A$109,0)),"")</f>
        <v>0.102855225891033</v>
      </c>
      <c r="F13" s="27" t="n">
        <f aca="false">IFERROR(INDEX(Monthly!$M$5:$M$109,MATCH(F$3,Monthly!$A$5:$A$109,0)),"")</f>
        <v>0.0785929205714495</v>
      </c>
      <c r="G13" s="27" t="n">
        <f aca="false">IFERROR(INDEX(Monthly!$M$5:$M$109,MATCH(G$3,Monthly!$A$5:$A$109,0)),"")</f>
        <v>0.0631277214482928</v>
      </c>
      <c r="H13" s="27" t="n">
        <f aca="false">IFERROR(INDEX(Monthly!$M$5:$M$109,MATCH(H$3,Monthly!$A$5:$A$109,0)),"")</f>
        <v>0.0514766107418885</v>
      </c>
      <c r="I13" s="27" t="n">
        <f aca="false">IFERROR(INDEX(Monthly!$M$5:$M$109,MATCH(I$3,Monthly!$A$5:$A$109,0)),"")</f>
        <v>0.0477957007712253</v>
      </c>
      <c r="J13" s="27" t="n">
        <f aca="false">IFERROR(INDEX(Monthly!$M$5:$M$109,MATCH(J$3,Monthly!$A$5:$A$109,0)),"")</f>
        <v>0.0512193099315352</v>
      </c>
      <c r="K13" s="27" t="n">
        <f aca="false">IFERROR(INDEX(Monthly!$M$5:$M$109,MATCH(K$3,Monthly!$A$5:$A$109,0)),"")</f>
        <v>0.0574803197364018</v>
      </c>
      <c r="L13" s="27" t="n">
        <f aca="false">IFERROR(INDEX(Monthly!$M$5:$M$109,MATCH(L$3,Monthly!$A$5:$A$109,0)),"")</f>
        <v>0.0631030042467273</v>
      </c>
      <c r="M13" s="27" t="str">
        <f aca="false">IFERROR(INDEX(Monthly!$M$5:$M$109,MATCH(M$3,Monthly!$A$5:$A$109,0)),"")</f>
        <v/>
      </c>
    </row>
    <row r="14" customFormat="false" ht="15" hidden="false" customHeight="false" outlineLevel="0" collapsed="false">
      <c r="A14" s="21" t="s">
        <v>15</v>
      </c>
      <c r="B14" s="29" t="n">
        <f aca="false">IFERROR(INDEX(Monthly!$N$5:$N$109,MATCH(B$3,Monthly!$A$5:$A$109,0)),"")</f>
        <v>105.7819</v>
      </c>
      <c r="C14" s="29" t="n">
        <f aca="false">IFERROR(INDEX(Monthly!$N$5:$N$109,MATCH(C$3,Monthly!$A$5:$A$109,0)),"")</f>
        <v>132.6629</v>
      </c>
      <c r="D14" s="29" t="n">
        <f aca="false">IFERROR(INDEX(Monthly!$N$5:$N$109,MATCH(D$3,Monthly!$A$5:$A$109,0)),"")</f>
        <v>119.3588</v>
      </c>
      <c r="E14" s="29" t="n">
        <f aca="false">IFERROR(INDEX(Monthly!$N$5:$N$109,MATCH(E$3,Monthly!$A$5:$A$109,0)),"")</f>
        <v>118.2021</v>
      </c>
      <c r="F14" s="29" t="n">
        <f aca="false">IFERROR(INDEX(Monthly!$N$5:$N$109,MATCH(F$3,Monthly!$A$5:$A$109,0)),"")</f>
        <v>117.3668</v>
      </c>
      <c r="G14" s="29" t="n">
        <f aca="false">IFERROR(INDEX(Monthly!$N$5:$N$109,MATCH(G$3,Monthly!$A$5:$A$109,0)),"")</f>
        <v>119.6194</v>
      </c>
      <c r="H14" s="29" t="n">
        <f aca="false">IFERROR(INDEX(Monthly!$N$5:$N$109,MATCH(H$3,Monthly!$A$5:$A$109,0)),"")</f>
        <v>121.4363</v>
      </c>
      <c r="I14" s="29" t="n">
        <f aca="false">IFERROR(INDEX(Monthly!$N$5:$N$109,MATCH(I$3,Monthly!$A$5:$A$109,0)),"")</f>
        <v>118.7817</v>
      </c>
      <c r="J14" s="29" t="n">
        <f aca="false">IFERROR(INDEX(Monthly!$N$5:$N$109,MATCH(J$3,Monthly!$A$5:$A$109,0)),"")</f>
        <v>122.5682</v>
      </c>
      <c r="K14" s="29" t="n">
        <f aca="false">IFERROR(INDEX(Monthly!$N$5:$N$109,MATCH(K$3,Monthly!$A$5:$A$109,0)),"")</f>
        <v>122.5939</v>
      </c>
      <c r="L14" s="29" t="n">
        <f aca="false">IFERROR(INDEX(Monthly!$N$5:$N$109,MATCH(L$3,Monthly!$A$5:$A$109,0)),"")</f>
        <v>0</v>
      </c>
      <c r="M14" s="29" t="n">
        <f aca="false">IFERROR(INDEX(Monthly!$N$5:$N$109,MATCH(M$3,Monthly!$A$5:$A$109,0)),"")</f>
        <v>0</v>
      </c>
    </row>
    <row r="15" customFormat="false" ht="15" hidden="false" customHeight="false" outlineLevel="0" collapsed="false">
      <c r="A15" s="21" t="s">
        <v>17</v>
      </c>
      <c r="B15" s="27" t="n">
        <f aca="false">IFERROR(INDEX(Monthly!$P$5:$P$109,MATCH(B$3,Monthly!$A$5:$A$109,0)),"")</f>
        <v>0.0257254100025546</v>
      </c>
      <c r="C15" s="27" t="n">
        <f aca="false">IFERROR(INDEX(Monthly!$P$5:$P$109,MATCH(C$3,Monthly!$A$5:$A$109,0)),"")</f>
        <v>0.0257906350799274</v>
      </c>
      <c r="D15" s="27" t="n">
        <f aca="false">IFERROR(INDEX(Monthly!$P$5:$P$109,MATCH(D$3,Monthly!$A$5:$A$109,0)),"")</f>
        <v>0.024607030764378</v>
      </c>
      <c r="E15" s="27" t="n">
        <f aca="false">IFERROR(INDEX(Monthly!$P$5:$P$109,MATCH(E$3,Monthly!$A$5:$A$109,0)),"")</f>
        <v>0.0264038687013162</v>
      </c>
      <c r="F15" s="27" t="n">
        <f aca="false">IFERROR(INDEX(Monthly!$P$5:$P$109,MATCH(F$3,Monthly!$A$5:$A$109,0)),"")</f>
        <v>0.0307277360444791</v>
      </c>
      <c r="G15" s="27" t="n">
        <f aca="false">IFERROR(INDEX(Monthly!$P$5:$P$109,MATCH(G$3,Monthly!$A$5:$A$109,0)),"")</f>
        <v>0.0360731788085752</v>
      </c>
      <c r="H15" s="27" t="n">
        <f aca="false">IFERROR(INDEX(Monthly!$P$5:$P$109,MATCH(H$3,Monthly!$A$5:$A$109,0)),"")</f>
        <v>0.0389729856297214</v>
      </c>
      <c r="I15" s="27" t="n">
        <f aca="false">IFERROR(INDEX(Monthly!$P$5:$P$109,MATCH(I$3,Monthly!$A$5:$A$109,0)),"")</f>
        <v>0.0390834214653825</v>
      </c>
      <c r="J15" s="27" t="n">
        <f aca="false">IFERROR(INDEX(Monthly!$P$5:$P$109,MATCH(J$3,Monthly!$A$5:$A$109,0)),"")</f>
        <v>0.0402081549531168</v>
      </c>
      <c r="K15" s="27" t="n">
        <f aca="false">IFERROR(INDEX(Monthly!$P$5:$P$109,MATCH(K$3,Monthly!$A$5:$A$109,0)),"")</f>
        <v>0.0392668225691286</v>
      </c>
      <c r="L15" s="27" t="n">
        <f aca="false">IFERROR(INDEX(Monthly!$P$5:$P$109,MATCH(L$3,Monthly!$A$5:$A$109,0)),"")</f>
        <v>0.0393002125416462</v>
      </c>
      <c r="M15" s="27" t="str">
        <f aca="false">IFERROR(INDEX(Monthly!$P$5:$P$109,MATCH(M$3,Monthly!$A$5:$A$109,0)),"")</f>
        <v/>
      </c>
    </row>
    <row r="16" customFormat="false" ht="15" hidden="false" customHeight="false" outlineLevel="0" collapsed="false">
      <c r="A16" s="21" t="s">
        <v>19</v>
      </c>
      <c r="B16" s="27" t="n">
        <f aca="false">IFERROR(INDEX(Monthly!$R$5:$R$109,MATCH(B$3,Monthly!$A$5:$A$109,0)),"")</f>
        <v>0.0666689827682045</v>
      </c>
      <c r="C16" s="27" t="n">
        <f aca="false">IFERROR(INDEX(Monthly!$R$5:$R$109,MATCH(C$3,Monthly!$A$5:$A$109,0)),"")</f>
        <v>0.228477984701462</v>
      </c>
      <c r="D16" s="27" t="n">
        <f aca="false">IFERROR(INDEX(Monthly!$R$5:$R$109,MATCH(D$3,Monthly!$A$5:$A$109,0)),"")</f>
        <v>0.124658723600113</v>
      </c>
      <c r="E16" s="27" t="n">
        <f aca="false">IFERROR(INDEX(Monthly!$R$5:$R$109,MATCH(E$3,Monthly!$A$5:$A$109,0)),"")</f>
        <v>0.0573593126456207</v>
      </c>
      <c r="F16" s="27" t="n">
        <f aca="false">IFERROR(INDEX(Monthly!$R$5:$R$109,MATCH(F$3,Monthly!$A$5:$A$109,0)),"")</f>
        <v>-0.0097475677586174</v>
      </c>
      <c r="G16" s="27" t="n">
        <f aca="false">IFERROR(INDEX(Monthly!$R$5:$R$109,MATCH(G$3,Monthly!$A$5:$A$109,0)),"")</f>
        <v>-0.0241062874532715</v>
      </c>
      <c r="H16" s="27" t="n">
        <f aca="false">IFERROR(INDEX(Monthly!$R$5:$R$109,MATCH(H$3,Monthly!$A$5:$A$109,0)),"")</f>
        <v>0.0340569492634708</v>
      </c>
      <c r="I16" s="27" t="n">
        <f aca="false">IFERROR(INDEX(Monthly!$R$5:$R$109,MATCH(I$3,Monthly!$A$5:$A$109,0)),"")</f>
        <v>0.0413797358417138</v>
      </c>
      <c r="J16" s="27" t="n">
        <f aca="false">IFERROR(INDEX(Monthly!$R$5:$R$109,MATCH(J$3,Monthly!$A$5:$A$109,0)),"")</f>
        <v>0.0403814292894507</v>
      </c>
      <c r="K16" s="27" t="n">
        <f aca="false">IFERROR(INDEX(Monthly!$R$5:$R$109,MATCH(K$3,Monthly!$A$5:$A$109,0)),"")</f>
        <v>0.0440968267071264</v>
      </c>
      <c r="L16" s="27" t="n">
        <f aca="false">IFERROR(INDEX(Monthly!$R$5:$R$109,MATCH(L$3,Monthly!$A$5:$A$109,0)),"")</f>
        <v>0.0534257562914151</v>
      </c>
      <c r="M16" s="27" t="str">
        <f aca="false">IFERROR(INDEX(Monthly!$R$5:$R$109,MATCH(M$3,Monthly!$A$5:$A$109,0)),"")</f>
        <v/>
      </c>
    </row>
    <row r="17" customFormat="false" ht="15" hidden="false" customHeight="false" outlineLevel="0" collapsed="false">
      <c r="A17" s="21" t="s">
        <v>20</v>
      </c>
      <c r="B17" s="28" t="n">
        <f aca="false">IFERROR(INDEX(Monthly!$S$5:$S$109,MATCH(B$3,Monthly!$A$5:$A$109,0)),"")</f>
        <v>4.116</v>
      </c>
      <c r="C17" s="28" t="n">
        <f aca="false">IFERROR(INDEX(Monthly!$S$5:$S$109,MATCH(C$3,Monthly!$A$5:$A$109,0)),"")</f>
        <v>7.1278</v>
      </c>
      <c r="D17" s="28" t="n">
        <f aca="false">IFERROR(INDEX(Monthly!$S$5:$S$109,MATCH(D$3,Monthly!$A$5:$A$109,0)),"")</f>
        <v>8.7239</v>
      </c>
      <c r="E17" s="28" t="n">
        <f aca="false">IFERROR(INDEX(Monthly!$S$5:$S$109,MATCH(E$3,Monthly!$A$5:$A$109,0)),"")</f>
        <v>8.9227</v>
      </c>
      <c r="F17" s="28" t="n">
        <f aca="false">IFERROR(INDEX(Monthly!$S$5:$S$109,MATCH(F$3,Monthly!$A$5:$A$109,0)),"")</f>
        <v>8.5704</v>
      </c>
      <c r="G17" s="28" t="n">
        <f aca="false">IFERROR(INDEX(Monthly!$S$5:$S$109,MATCH(G$3,Monthly!$A$5:$A$109,0)),"")</f>
        <v>7.7284</v>
      </c>
      <c r="H17" s="28" t="n">
        <f aca="false">IFERROR(INDEX(Monthly!$S$5:$S$109,MATCH(H$3,Monthly!$A$5:$A$109,0)),"")</f>
        <v>6.8922</v>
      </c>
      <c r="I17" s="28" t="n">
        <f aca="false">IFERROR(INDEX(Monthly!$S$5:$S$109,MATCH(I$3,Monthly!$A$5:$A$109,0)),"")</f>
        <v>6.6733</v>
      </c>
      <c r="J17" s="28" t="n">
        <f aca="false">IFERROR(INDEX(Monthly!$S$5:$S$109,MATCH(J$3,Monthly!$A$5:$A$109,0)),"")</f>
        <v>6.5708</v>
      </c>
      <c r="K17" s="28" t="n">
        <f aca="false">IFERROR(INDEX(Monthly!$S$5:$S$109,MATCH(K$3,Monthly!$A$5:$A$109,0)),"")</f>
        <v>6.6471</v>
      </c>
      <c r="L17" s="28" t="n">
        <f aca="false">IFERROR(INDEX(Monthly!$S$5:$S$109,MATCH(L$3,Monthly!$A$5:$A$109,0)),"")</f>
        <v>6.7272</v>
      </c>
      <c r="M17" s="28" t="n">
        <f aca="false">IFERROR(INDEX(Monthly!$S$5:$S$109,MATCH(M$3,Monthly!$A$5:$A$109,0)),"")</f>
        <v>6.743</v>
      </c>
    </row>
    <row r="18" customFormat="false" ht="15" hidden="false" customHeight="false" outlineLevel="0" collapsed="false">
      <c r="A18" s="21" t="s">
        <v>22</v>
      </c>
      <c r="B18" s="27" t="n">
        <f aca="false">IFERROR(INDEX(Monthly!$U$5:$U$109,MATCH(B$3,Monthly!$A$5:$A$109,0)),"")</f>
        <v>-0.0229918073733639</v>
      </c>
      <c r="C18" s="27" t="n">
        <f aca="false">IFERROR(INDEX(Monthly!$U$5:$U$109,MATCH(C$3,Monthly!$A$5:$A$109,0)),"")</f>
        <v>-0.105860646735815</v>
      </c>
      <c r="D18" s="27" t="n">
        <f aca="false">IFERROR(INDEX(Monthly!$U$5:$U$109,MATCH(D$3,Monthly!$A$5:$A$109,0)),"")</f>
        <v>0.0224637312810712</v>
      </c>
      <c r="E18" s="27" t="n">
        <f aca="false">IFERROR(INDEX(Monthly!$U$5:$U$109,MATCH(E$3,Monthly!$A$5:$A$109,0)),"")</f>
        <v>0.0122175940167557</v>
      </c>
      <c r="F18" s="27" t="n">
        <f aca="false">IFERROR(INDEX(Monthly!$U$5:$U$109,MATCH(F$3,Monthly!$A$5:$A$109,0)),"")</f>
        <v>-0.00801609981247364</v>
      </c>
      <c r="G18" s="27" t="n">
        <f aca="false">IFERROR(INDEX(Monthly!$U$5:$U$109,MATCH(G$3,Monthly!$A$5:$A$109,0)),"")</f>
        <v>0.00838659107675532</v>
      </c>
      <c r="H18" s="27" t="n">
        <f aca="false">IFERROR(INDEX(Monthly!$U$5:$U$109,MATCH(H$3,Monthly!$A$5:$A$109,0)),"")</f>
        <v>-0.0027414662172438</v>
      </c>
      <c r="I18" s="27" t="n">
        <f aca="false">IFERROR(INDEX(Monthly!$U$5:$U$109,MATCH(I$3,Monthly!$A$5:$A$109,0)),"")</f>
        <v>0.00579320871409594</v>
      </c>
      <c r="J18" s="27" t="n">
        <f aca="false">IFERROR(INDEX(Monthly!$U$5:$U$109,MATCH(J$3,Monthly!$A$5:$A$109,0)),"")</f>
        <v>0.0116299352220184</v>
      </c>
      <c r="K18" s="27" t="n">
        <f aca="false">IFERROR(INDEX(Monthly!$U$5:$U$109,MATCH(K$3,Monthly!$A$5:$A$109,0)),"")</f>
        <v>0.00686062208779847</v>
      </c>
      <c r="L18" s="27" t="n">
        <f aca="false">IFERROR(INDEX(Monthly!$U$5:$U$109,MATCH(L$3,Monthly!$A$5:$A$109,0)),"")</f>
        <v>0.0134363436590017</v>
      </c>
      <c r="M18" s="27" t="str">
        <f aca="false">IFERROR(INDEX(Monthly!$U$5:$U$109,MATCH(M$3,Monthly!$A$5:$A$109,0)),"")</f>
        <v/>
      </c>
    </row>
    <row r="19" customFormat="false" ht="15" hidden="false" customHeight="false" outlineLevel="0" collapsed="false">
      <c r="A19" s="21" t="s">
        <v>24</v>
      </c>
      <c r="B19" s="27" t="n">
        <f aca="false">IFERROR(INDEX(Monthly!$W$5:$W$109,MATCH(B$3,Monthly!$A$5:$A$109,0)),"")</f>
        <v>0.0538807621489432</v>
      </c>
      <c r="C19" s="27" t="n">
        <f aca="false">IFERROR(INDEX(Monthly!$W$5:$W$109,MATCH(C$3,Monthly!$A$5:$A$109,0)),"")</f>
        <v>0.0263347841821227</v>
      </c>
      <c r="D19" s="27" t="n">
        <f aca="false">IFERROR(INDEX(Monthly!$W$5:$W$109,MATCH(D$3,Monthly!$A$5:$A$109,0)),"")</f>
        <v>0.152592960613397</v>
      </c>
      <c r="E19" s="27" t="n">
        <f aca="false">IFERROR(INDEX(Monthly!$W$5:$W$109,MATCH(E$3,Monthly!$A$5:$A$109,0)),"")</f>
        <v>0.0919927874437438</v>
      </c>
      <c r="F19" s="27" t="n">
        <f aca="false">IFERROR(INDEX(Monthly!$W$5:$W$109,MATCH(F$3,Monthly!$A$5:$A$109,0)),"")</f>
        <v>0.0427369260809285</v>
      </c>
      <c r="G19" s="27" t="n">
        <f aca="false">IFERROR(INDEX(Monthly!$W$5:$W$109,MATCH(G$3,Monthly!$A$5:$A$109,0)),"")</f>
        <v>0.0287796638927664</v>
      </c>
      <c r="H19" s="27" t="n">
        <f aca="false">IFERROR(INDEX(Monthly!$W$5:$W$109,MATCH(H$3,Monthly!$A$5:$A$109,0)),"")</f>
        <v>0.0372299512866532</v>
      </c>
      <c r="I19" s="27" t="n">
        <f aca="false">IFERROR(INDEX(Monthly!$W$5:$W$109,MATCH(I$3,Monthly!$A$5:$A$109,0)),"")</f>
        <v>0.0388009729145398</v>
      </c>
      <c r="J19" s="27" t="n">
        <f aca="false">IFERROR(INDEX(Monthly!$W$5:$W$109,MATCH(J$3,Monthly!$A$5:$A$109,0)),"")</f>
        <v>0.0209166312514997</v>
      </c>
      <c r="K19" s="27" t="n">
        <f aca="false">IFERROR(INDEX(Monthly!$W$5:$W$109,MATCH(K$3,Monthly!$A$5:$A$109,0)),"")</f>
        <v>0.0359121986326016</v>
      </c>
      <c r="L19" s="27" t="n">
        <f aca="false">IFERROR(INDEX(Monthly!$W$5:$W$109,MATCH(L$3,Monthly!$A$5:$A$109,0)),"")</f>
        <v>0.0592802540313897</v>
      </c>
      <c r="M19" s="27" t="str">
        <f aca="false">IFERROR(INDEX(Monthly!$W$5:$W$109,MATCH(M$3,Monthly!$A$5:$A$109,0)),"")</f>
        <v/>
      </c>
    </row>
    <row r="20" customFormat="false" ht="15" hidden="false" customHeight="false" outlineLevel="0" collapsed="false">
      <c r="A20" s="21" t="s">
        <v>26</v>
      </c>
      <c r="B20" s="27" t="n">
        <f aca="false">IFERROR(INDEX(Monthly!$Y$5:$Y$109,MATCH(B$3,Monthly!$A$5:$A$109,0)),"")</f>
        <v>0.0514674485467845</v>
      </c>
      <c r="C20" s="27" t="n">
        <f aca="false">IFERROR(INDEX(Monthly!$Y$5:$Y$109,MATCH(C$3,Monthly!$A$5:$A$109,0)),"")</f>
        <v>-0.0249502036963779</v>
      </c>
      <c r="D20" s="27" t="n">
        <f aca="false">IFERROR(INDEX(Monthly!$Y$5:$Y$109,MATCH(D$3,Monthly!$A$5:$A$109,0)),"")</f>
        <v>0.138793685062745</v>
      </c>
      <c r="E20" s="27" t="n">
        <f aca="false">IFERROR(INDEX(Monthly!$Y$5:$Y$109,MATCH(E$3,Monthly!$A$5:$A$109,0)),"")</f>
        <v>0.0957091223626083</v>
      </c>
      <c r="F20" s="27" t="n">
        <f aca="false">IFERROR(INDEX(Monthly!$Y$5:$Y$109,MATCH(F$3,Monthly!$A$5:$A$109,0)),"")</f>
        <v>0.071442959381961</v>
      </c>
      <c r="G20" s="27" t="n">
        <f aca="false">IFERROR(INDEX(Monthly!$Y$5:$Y$109,MATCH(G$3,Monthly!$A$5:$A$109,0)),"")</f>
        <v>0.062366257305738</v>
      </c>
      <c r="H20" s="27" t="n">
        <f aca="false">IFERROR(INDEX(Monthly!$Y$5:$Y$109,MATCH(H$3,Monthly!$A$5:$A$109,0)),"")</f>
        <v>0.0648363087492845</v>
      </c>
      <c r="I20" s="27" t="n">
        <f aca="false">IFERROR(INDEX(Monthly!$Y$5:$Y$109,MATCH(I$3,Monthly!$A$5:$A$109,0)),"")</f>
        <v>0.0517868249786351</v>
      </c>
      <c r="J20" s="27" t="n">
        <f aca="false">IFERROR(INDEX(Monthly!$Y$5:$Y$109,MATCH(J$3,Monthly!$A$5:$A$109,0)),"")</f>
        <v>0.0428815125105699</v>
      </c>
      <c r="K20" s="27" t="n">
        <f aca="false">IFERROR(INDEX(Monthly!$Y$5:$Y$109,MATCH(K$3,Monthly!$A$5:$A$109,0)),"")</f>
        <v>0.0533602020005828</v>
      </c>
      <c r="L20" s="27" t="n">
        <f aca="false">IFERROR(INDEX(Monthly!$Y$5:$Y$109,MATCH(L$3,Monthly!$A$5:$A$109,0)),"")</f>
        <v>0.0623142975278133</v>
      </c>
      <c r="M20" s="27" t="str">
        <f aca="false">IFERROR(INDEX(Monthly!$Y$5:$Y$109,MATCH(M$3,Monthly!$A$5:$A$109,0)),"")</f>
        <v/>
      </c>
    </row>
    <row r="21" customFormat="false" ht="15" hidden="false" customHeight="false" outlineLevel="0" collapsed="false">
      <c r="A21" s="21" t="s">
        <v>28</v>
      </c>
      <c r="B21" s="27" t="n">
        <f aca="false">IFERROR(INDEX(Monthly!$AA$5:$AA$109,MATCH(B$3,Monthly!$A$5:$A$109,0)),"")</f>
        <v>0.0114339148099183</v>
      </c>
      <c r="C21" s="27" t="n">
        <f aca="false">IFERROR(INDEX(Monthly!$AA$5:$AA$109,MATCH(C$3,Monthly!$A$5:$A$109,0)),"")</f>
        <v>0.0956233413228291</v>
      </c>
      <c r="D21" s="27" t="n">
        <f aca="false">IFERROR(INDEX(Monthly!$AA$5:$AA$109,MATCH(D$3,Monthly!$A$5:$A$109,0)),"")</f>
        <v>0.0152094501058073</v>
      </c>
      <c r="E21" s="27" t="n">
        <f aca="false">IFERROR(INDEX(Monthly!$AA$5:$AA$109,MATCH(E$3,Monthly!$A$5:$A$109,0)),"")</f>
        <v>-0.0450018706240758</v>
      </c>
      <c r="F21" s="27" t="n">
        <f aca="false">IFERROR(INDEX(Monthly!$AA$5:$AA$109,MATCH(F$3,Monthly!$A$5:$A$109,0)),"")</f>
        <v>-0.00339999159012672</v>
      </c>
      <c r="G21" s="27" t="n">
        <f aca="false">IFERROR(INDEX(Monthly!$AA$5:$AA$109,MATCH(G$3,Monthly!$A$5:$A$109,0)),"")</f>
        <v>0.0602091558421989</v>
      </c>
      <c r="H21" s="27" t="n">
        <f aca="false">IFERROR(INDEX(Monthly!$AA$5:$AA$109,MATCH(H$3,Monthly!$A$5:$A$109,0)),"")</f>
        <v>0.0212912322194048</v>
      </c>
      <c r="I21" s="27" t="n">
        <f aca="false">IFERROR(INDEX(Monthly!$AA$5:$AA$109,MATCH(I$3,Monthly!$A$5:$A$109,0)),"")</f>
        <v>0.0122441213667752</v>
      </c>
      <c r="J21" s="27" t="n">
        <f aca="false">IFERROR(INDEX(Monthly!$AA$5:$AA$109,MATCH(J$3,Monthly!$A$5:$A$109,0)),"")</f>
        <v>0.0136217636482054</v>
      </c>
      <c r="K21" s="27" t="n">
        <f aca="false">IFERROR(INDEX(Monthly!$AA$5:$AA$109,MATCH(K$3,Monthly!$A$5:$A$109,0)),"")</f>
        <v>0.0126487024843689</v>
      </c>
      <c r="L21" s="27" t="n">
        <f aca="false">IFERROR(INDEX(Monthly!$AA$5:$AA$109,MATCH(L$3,Monthly!$A$5:$A$109,0)),"")</f>
        <v>0.0149154716230113</v>
      </c>
      <c r="M21" s="27" t="str">
        <f aca="false">IFERROR(INDEX(Monthly!$AA$5:$AA$109,MATCH(M$3,Monthly!$A$5:$A$109,0)),"")</f>
        <v/>
      </c>
    </row>
    <row r="22" customFormat="false" ht="15" hidden="false" customHeight="false" outlineLevel="0" collapsed="false">
      <c r="A22" s="21" t="s">
        <v>30</v>
      </c>
      <c r="B22" s="27" t="n">
        <f aca="false">IFERROR(INDEX(Monthly!$AC$5:$AC$109,MATCH(B$3,Monthly!$A$5:$A$109,0)),"")</f>
        <v>0.0367920103193526</v>
      </c>
      <c r="C22" s="27" t="n">
        <f aca="false">IFERROR(INDEX(Monthly!$AC$5:$AC$109,MATCH(C$3,Monthly!$A$5:$A$109,0)),"")</f>
        <v>0.0437952390903738</v>
      </c>
      <c r="D22" s="27" t="n">
        <f aca="false">IFERROR(INDEX(Monthly!$AC$5:$AC$109,MATCH(D$3,Monthly!$A$5:$A$109,0)),"")</f>
        <v>0.188640592724107</v>
      </c>
      <c r="E22" s="27" t="n">
        <f aca="false">IFERROR(INDEX(Monthly!$AC$5:$AC$109,MATCH(E$3,Monthly!$A$5:$A$109,0)),"")</f>
        <v>0.179785608419408</v>
      </c>
      <c r="F22" s="27" t="n">
        <f aca="false">IFERROR(INDEX(Monthly!$AC$5:$AC$109,MATCH(F$3,Monthly!$A$5:$A$109,0)),"")</f>
        <v>0.0562748646358453</v>
      </c>
      <c r="G22" s="27" t="n">
        <f aca="false">IFERROR(INDEX(Monthly!$AC$5:$AC$109,MATCH(G$3,Monthly!$A$5:$A$109,0)),"")</f>
        <v>0.0566623949201344</v>
      </c>
      <c r="H22" s="27" t="n">
        <f aca="false">IFERROR(INDEX(Monthly!$AC$5:$AC$109,MATCH(H$3,Monthly!$A$5:$A$109,0)),"")</f>
        <v>0.0399710471288401</v>
      </c>
      <c r="I22" s="27" t="n">
        <f aca="false">IFERROR(INDEX(Monthly!$AC$5:$AC$109,MATCH(I$3,Monthly!$A$5:$A$109,0)),"")</f>
        <v>0.0193939543006125</v>
      </c>
      <c r="J22" s="27" t="n">
        <f aca="false">IFERROR(INDEX(Monthly!$AC$5:$AC$109,MATCH(J$3,Monthly!$A$5:$A$109,0)),"")</f>
        <v>0.0116093109581628</v>
      </c>
      <c r="K22" s="27" t="n">
        <f aca="false">IFERROR(INDEX(Monthly!$AC$5:$AC$109,MATCH(K$3,Monthly!$A$5:$A$109,0)),"")</f>
        <v>0.00827596308773981</v>
      </c>
      <c r="L22" s="27" t="n">
        <f aca="false">IFERROR(INDEX(Monthly!$AC$5:$AC$109,MATCH(L$3,Monthly!$A$5:$A$109,0)),"")</f>
        <v>0.0161175519658345</v>
      </c>
      <c r="M22" s="27" t="str">
        <f aca="false">IFERROR(INDEX(Monthly!$AC$5:$AC$109,MATCH(M$3,Monthly!$A$5:$A$109,0)),"")</f>
        <v/>
      </c>
    </row>
    <row r="23" customFormat="false" ht="15" hidden="false" customHeight="false" outlineLevel="0" collapsed="false">
      <c r="A23" s="21" t="s">
        <v>31</v>
      </c>
      <c r="B23" s="28" t="n">
        <f aca="false">IFERROR(INDEX(Monthly!$AD$5:$AD$109,MATCH(B$3,Monthly!$A$5:$A$109,0)),"")</f>
        <v>67.31</v>
      </c>
      <c r="C23" s="28" t="n">
        <f aca="false">IFERROR(INDEX(Monthly!$AD$5:$AD$109,MATCH(C$3,Monthly!$A$5:$A$109,0)),"")</f>
        <v>40.27</v>
      </c>
      <c r="D23" s="28" t="n">
        <f aca="false">IFERROR(INDEX(Monthly!$AD$5:$AD$109,MATCH(D$3,Monthly!$A$5:$A$109,0)),"")</f>
        <v>74.17</v>
      </c>
      <c r="E23" s="28" t="n">
        <f aca="false">IFERROR(INDEX(Monthly!$AD$5:$AD$109,MATCH(E$3,Monthly!$A$5:$A$109,0)),"")</f>
        <v>122.71</v>
      </c>
      <c r="F23" s="28" t="n">
        <f aca="false">IFERROR(INDEX(Monthly!$AD$5:$AD$109,MATCH(F$3,Monthly!$A$5:$A$109,0)),"")</f>
        <v>80.92</v>
      </c>
      <c r="G23" s="28" t="n">
        <f aca="false">IFERROR(INDEX(Monthly!$AD$5:$AD$109,MATCH(G$3,Monthly!$A$5:$A$109,0)),"")</f>
        <v>77.63</v>
      </c>
      <c r="H23" s="28" t="n">
        <f aca="false">IFERROR(INDEX(Monthly!$AD$5:$AD$109,MATCH(H$3,Monthly!$A$5:$A$109,0)),"")</f>
        <v>73.86</v>
      </c>
      <c r="I23" s="28" t="n">
        <f aca="false">IFERROR(INDEX(Monthly!$AD$5:$AD$109,MATCH(I$3,Monthly!$A$5:$A$109,0)),"")</f>
        <v>71.44</v>
      </c>
      <c r="J23" s="28" t="n">
        <f aca="false">IFERROR(INDEX(Monthly!$AD$5:$AD$109,MATCH(J$3,Monthly!$A$5:$A$109,0)),"")</f>
        <v>62.54</v>
      </c>
      <c r="K23" s="28" t="n">
        <f aca="false">IFERROR(INDEX(Monthly!$AD$5:$AD$109,MATCH(K$3,Monthly!$A$5:$A$109,0)),"")</f>
        <v>103.13</v>
      </c>
      <c r="L23" s="28" t="n">
        <f aca="false">IFERROR(INDEX(Monthly!$AD$5:$AD$109,MATCH(L$3,Monthly!$A$5:$A$109,0)),"")</f>
        <v>85.4</v>
      </c>
      <c r="M23" s="28" t="n">
        <f aca="false">IFERROR(INDEX(Monthly!$AD$5:$AD$109,MATCH(M$3,Monthly!$A$5:$A$109,0)),"")</f>
        <v>114.16</v>
      </c>
    </row>
    <row r="24" customFormat="false" ht="15" hidden="false" customHeight="false" outlineLevel="0" collapsed="false">
      <c r="A24" s="21" t="s">
        <v>33</v>
      </c>
      <c r="B24" s="26" t="n">
        <f aca="false">IFERROR(INDEX(Monthly!$AF$5:$AF$109,MATCH(B$3,Monthly!$A$5:$A$109,0)),"")</f>
        <v>1479</v>
      </c>
      <c r="C24" s="26" t="n">
        <f aca="false">IFERROR(INDEX(Monthly!$AF$5:$AF$109,MATCH(C$3,Monthly!$A$5:$A$109,0)),"")</f>
        <v>1732</v>
      </c>
      <c r="D24" s="26" t="n">
        <f aca="false">IFERROR(INDEX(Monthly!$AF$5:$AF$109,MATCH(D$3,Monthly!$A$5:$A$109,0)),"")</f>
        <v>1790</v>
      </c>
      <c r="E24" s="26" t="n">
        <f aca="false">IFERROR(INDEX(Monthly!$AF$5:$AF$109,MATCH(E$3,Monthly!$A$5:$A$109,0)),"")</f>
        <v>1837</v>
      </c>
      <c r="F24" s="26" t="n">
        <f aca="false">IFERROR(INDEX(Monthly!$AF$5:$AF$109,MATCH(F$3,Monthly!$A$5:$A$109,0)),"")</f>
        <v>1798</v>
      </c>
      <c r="G24" s="26" t="n">
        <f aca="false">IFERROR(INDEX(Monthly!$AF$5:$AF$109,MATCH(G$3,Monthly!$A$5:$A$109,0)),"")</f>
        <v>2026</v>
      </c>
      <c r="H24" s="26" t="n">
        <f aca="false">IFERROR(INDEX(Monthly!$AF$5:$AF$109,MATCH(H$3,Monthly!$A$5:$A$109,0)),"")</f>
        <v>2648</v>
      </c>
      <c r="I24" s="26" t="n">
        <f aca="false">IFERROR(INDEX(Monthly!$AF$5:$AF$109,MATCH(I$3,Monthly!$A$5:$A$109,0)),"")</f>
        <v>3353</v>
      </c>
      <c r="J24" s="26" t="n">
        <f aca="false">IFERROR(INDEX(Monthly!$AF$5:$AF$109,MATCH(J$3,Monthly!$A$5:$A$109,0)),"")</f>
        <v>4309</v>
      </c>
      <c r="K24" s="26" t="n">
        <f aca="false">IFERROR(INDEX(Monthly!$AF$5:$AF$109,MATCH(K$3,Monthly!$A$5:$A$109,0)),"")</f>
        <v>4856</v>
      </c>
      <c r="L24" s="26" t="n">
        <f aca="false">IFERROR(INDEX(Monthly!$AF$5:$AF$109,MATCH(L$3,Monthly!$A$5:$A$109,0)),"")</f>
        <v>4228</v>
      </c>
      <c r="M24" s="26" t="n">
        <f aca="false">IFERROR(INDEX(Monthly!$AF$5:$AF$109,MATCH(M$3,Monthly!$A$5:$A$109,0)),"")</f>
        <v>4319</v>
      </c>
    </row>
    <row r="25" customFormat="false" ht="15" hidden="false" customHeight="false" outlineLevel="0" collapsed="false">
      <c r="A25" s="21" t="s">
        <v>35</v>
      </c>
      <c r="B25" s="29" t="n">
        <f aca="false">IFERROR(INDEX(Monthly!$AH$5:$AH$109,MATCH(B$3,Monthly!$A$5:$A$109,0)),"")</f>
        <v>13.78</v>
      </c>
      <c r="C25" s="29" t="n">
        <f aca="false">IFERROR(INDEX(Monthly!$AH$5:$AH$109,MATCH(C$3,Monthly!$A$5:$A$109,0)),"")</f>
        <v>30.43</v>
      </c>
      <c r="D25" s="29" t="n">
        <f aca="false">IFERROR(INDEX(Monthly!$AH$5:$AH$109,MATCH(D$3,Monthly!$A$5:$A$109,0)),"")</f>
        <v>17.22</v>
      </c>
      <c r="E25" s="29" t="n">
        <f aca="false">IFERROR(INDEX(Monthly!$AH$5:$AH$109,MATCH(E$3,Monthly!$A$5:$A$109,0)),"")</f>
        <v>28.71</v>
      </c>
      <c r="F25" s="29" t="n">
        <f aca="false">IFERROR(INDEX(Monthly!$AH$5:$AH$109,MATCH(F$3,Monthly!$A$5:$A$109,0)),"")</f>
        <v>21.67</v>
      </c>
      <c r="G25" s="29" t="n">
        <f aca="false">IFERROR(INDEX(Monthly!$AH$5:$AH$109,MATCH(G$3,Monthly!$A$5:$A$109,0)),"")</f>
        <v>12.45</v>
      </c>
      <c r="H25" s="29" t="n">
        <f aca="false">IFERROR(INDEX(Monthly!$AH$5:$AH$109,MATCH(H$3,Monthly!$A$5:$A$109,0)),"")</f>
        <v>17.35</v>
      </c>
      <c r="I25" s="29" t="n">
        <f aca="false">IFERROR(INDEX(Monthly!$AH$5:$AH$109,MATCH(I$3,Monthly!$A$5:$A$109,0)),"")</f>
        <v>16.73</v>
      </c>
      <c r="J25" s="29" t="n">
        <f aca="false">IFERROR(INDEX(Monthly!$AH$5:$AH$109,MATCH(J$3,Monthly!$A$5:$A$109,0)),"")</f>
        <v>14.95</v>
      </c>
      <c r="K25" s="29" t="n">
        <f aca="false">IFERROR(INDEX(Monthly!$AH$5:$AH$109,MATCH(K$3,Monthly!$A$5:$A$109,0)),"")</f>
        <v>25.25</v>
      </c>
      <c r="L25" s="29" t="n">
        <f aca="false">IFERROR(INDEX(Monthly!$AH$5:$AH$109,MATCH(L$3,Monthly!$A$5:$A$109,0)),"")</f>
        <v>16.45</v>
      </c>
      <c r="M25" s="29" t="n">
        <f aca="false">IFERROR(INDEX(Monthly!$AH$5:$AH$109,MATCH(M$3,Monthly!$A$5:$A$109,0)),"")</f>
        <v>14.21</v>
      </c>
    </row>
    <row r="26" customFormat="false" ht="15" hidden="false" customHeight="false" outlineLevel="0" collapsed="false">
      <c r="A26" s="21" t="s">
        <v>36</v>
      </c>
      <c r="B26" s="30" t="n">
        <f aca="false">IFERROR(INDEX(Monthly!$AI$5:$AI$109,MATCH(B$3,Monthly!$A$5:$A$109,0)),"")</f>
        <v>1.1114</v>
      </c>
      <c r="C26" s="30" t="n">
        <f aca="false">IFERROR(INDEX(Monthly!$AI$5:$AI$109,MATCH(C$3,Monthly!$A$5:$A$109,0)),"")</f>
        <v>1.1259</v>
      </c>
      <c r="D26" s="30" t="n">
        <f aca="false">IFERROR(INDEX(Monthly!$AI$5:$AI$109,MATCH(D$3,Monthly!$A$5:$A$109,0)),"")</f>
        <v>1.1301</v>
      </c>
      <c r="E26" s="30" t="n">
        <f aca="false">IFERROR(INDEX(Monthly!$AI$5:$AI$109,MATCH(E$3,Monthly!$A$5:$A$109,0)),"")</f>
        <v>1.0567</v>
      </c>
      <c r="F26" s="30" t="n">
        <f aca="false">IFERROR(INDEX(Monthly!$AI$5:$AI$109,MATCH(F$3,Monthly!$A$5:$A$109,0)),"")</f>
        <v>1.0591</v>
      </c>
      <c r="G26" s="30" t="n">
        <f aca="false">IFERROR(INDEX(Monthly!$AI$5:$AI$109,MATCH(G$3,Monthly!$A$5:$A$109,0)),"")</f>
        <v>1.0909</v>
      </c>
      <c r="H26" s="30" t="n">
        <f aca="false">IFERROR(INDEX(Monthly!$AI$5:$AI$109,MATCH(H$3,Monthly!$A$5:$A$109,0)),"")</f>
        <v>1.0472</v>
      </c>
      <c r="I26" s="30" t="n">
        <f aca="false">IFERROR(INDEX(Monthly!$AI$5:$AI$109,MATCH(I$3,Monthly!$A$5:$A$109,0)),"")</f>
        <v>1.1534</v>
      </c>
      <c r="J26" s="30" t="n">
        <f aca="false">IFERROR(INDEX(Monthly!$AI$5:$AI$109,MATCH(J$3,Monthly!$A$5:$A$109,0)),"")</f>
        <v>1.171</v>
      </c>
      <c r="K26" s="30" t="n">
        <f aca="false">IFERROR(INDEX(Monthly!$AI$5:$AI$109,MATCH(K$3,Monthly!$A$5:$A$109,0)),"")</f>
        <v>1.1557</v>
      </c>
      <c r="L26" s="30" t="n">
        <f aca="false">IFERROR(INDEX(Monthly!$AI$5:$AI$109,MATCH(L$3,Monthly!$A$5:$A$109,0)),"")</f>
        <v>1.1516</v>
      </c>
      <c r="M26" s="30" t="n">
        <f aca="false">IFERROR(INDEX(Monthly!$AI$5:$AI$109,MATCH(M$3,Monthly!$A$5:$A$109,0)),"")</f>
        <v>1.1505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21" t="s">
        <v>69</v>
      </c>
      <c r="B1" s="31" t="s">
        <v>70</v>
      </c>
    </row>
    <row r="2" customFormat="false" ht="23.85" hidden="false" customHeight="false" outlineLevel="0" collapsed="false">
      <c r="A2" s="21" t="s">
        <v>71</v>
      </c>
      <c r="B2" s="31" t="s">
        <v>72</v>
      </c>
    </row>
    <row r="3" customFormat="false" ht="23.85" hidden="false" customHeight="false" outlineLevel="0" collapsed="false">
      <c r="A3" s="21" t="s">
        <v>73</v>
      </c>
      <c r="B3" s="31" t="s">
        <v>74</v>
      </c>
    </row>
    <row r="4" customFormat="false" ht="15" hidden="false" customHeight="false" outlineLevel="0" collapsed="false">
      <c r="A4" s="21" t="s">
        <v>75</v>
      </c>
      <c r="B4" s="31" t="s">
        <v>76</v>
      </c>
    </row>
    <row r="5" customFormat="false" ht="15" hidden="false" customHeight="false" outlineLevel="0" collapsed="false">
      <c r="A5" s="21" t="s">
        <v>77</v>
      </c>
      <c r="B5" s="31" t="s">
        <v>78</v>
      </c>
    </row>
    <row r="6" customFormat="false" ht="15" hidden="false" customHeight="false" outlineLevel="0" collapsed="false">
      <c r="A6" s="21" t="s">
        <v>79</v>
      </c>
      <c r="B6" s="31" t="s">
        <v>80</v>
      </c>
    </row>
    <row r="7" customFormat="false" ht="15" hidden="false" customHeight="false" outlineLevel="0" collapsed="false">
      <c r="A7" s="21" t="s">
        <v>81</v>
      </c>
      <c r="B7" s="31" t="s">
        <v>82</v>
      </c>
    </row>
    <row r="8" customFormat="false" ht="15" hidden="false" customHeight="false" outlineLevel="0" collapsed="false">
      <c r="A8" s="21" t="s">
        <v>83</v>
      </c>
      <c r="B8" s="31" t="s">
        <v>84</v>
      </c>
    </row>
    <row r="9" customFormat="false" ht="23.85" hidden="false" customHeight="false" outlineLevel="0" collapsed="false">
      <c r="A9" s="21" t="s">
        <v>85</v>
      </c>
      <c r="B9" s="31" t="s">
        <v>86</v>
      </c>
    </row>
    <row r="10" customFormat="false" ht="15" hidden="false" customHeight="false" outlineLevel="0" collapsed="false">
      <c r="A10" s="21" t="s">
        <v>87</v>
      </c>
      <c r="B10" s="31"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2026-10-10T15:20:37Z</dcterms:created>
  <dc:creator>openpyxl</dc:creator>
  <dc:description/>
  <dc:language>en-US</dc:language>
  <cp:lastModifiedBy/>
  <dcterms:modified xsi:type="dcterms:W3CDTF">2026-10-10T15:20:38Z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